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2" documentId="8_{FA6889E8-4049-4773-B49F-1F8223A0C750}" xr6:coauthVersionLast="47" xr6:coauthVersionMax="47" xr10:uidLastSave="{1C4109BC-2029-41B4-9868-3AF1BB102799}"/>
  <bookViews>
    <workbookView xWindow="-23148" yWindow="-108" windowWidth="23256" windowHeight="12456" tabRatio="831" activeTab="5" xr2:uid="{DBBC9A77-65D0-40C5-B925-5A46ADE8E58C}"/>
  </bookViews>
  <sheets>
    <sheet name="2014" sheetId="106" r:id="rId1"/>
    <sheet name="2015" sheetId="107" r:id="rId2"/>
    <sheet name="2016" sheetId="108" r:id="rId3"/>
    <sheet name="2017" sheetId="109" r:id="rId4"/>
    <sheet name="2018" sheetId="110" r:id="rId5"/>
    <sheet name="2019" sheetId="111" r:id="rId6"/>
  </sheets>
  <definedNames>
    <definedName name="Pal_Workbook_GUID" hidden="1">"RPL7324IGR4U1MRUY3VIH63W"</definedName>
    <definedName name="RiskIsInput" hidden="1">FALSE</definedName>
    <definedName name="RiskIsOptimization" hidden="1">FALSE</definedName>
    <definedName name="RiskIsOutput" hidden="1">FALSE</definedName>
    <definedName name="RiskIsStatistic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4" i="109" l="1"/>
  <c r="C184" i="109"/>
  <c r="D181" i="109"/>
  <c r="C181" i="109"/>
  <c r="B181" i="109"/>
  <c r="AE150" i="106"/>
  <c r="AE150" i="107"/>
  <c r="AE150" i="108"/>
  <c r="AE150" i="109"/>
  <c r="AE150" i="110"/>
  <c r="AE150" i="111"/>
  <c r="B150" i="108"/>
  <c r="B26" i="109"/>
  <c r="B21" i="109"/>
  <c r="AC193" i="111"/>
  <c r="AE193" i="111"/>
  <c r="AC191" i="111"/>
  <c r="AE191" i="111"/>
  <c r="AG190" i="111"/>
  <c r="AC190" i="111"/>
  <c r="AE190" i="111"/>
  <c r="D190" i="111"/>
  <c r="C190" i="111"/>
  <c r="B190" i="111"/>
  <c r="AE187" i="111"/>
  <c r="AC186" i="111"/>
  <c r="AE186" i="111"/>
  <c r="AC185" i="111"/>
  <c r="AE185" i="111"/>
  <c r="D184" i="111"/>
  <c r="C184" i="111"/>
  <c r="AC183" i="111"/>
  <c r="AE183" i="111"/>
  <c r="AC182" i="111"/>
  <c r="AE182" i="111"/>
  <c r="AG181" i="111"/>
  <c r="D181" i="111"/>
  <c r="D175" i="111"/>
  <c r="C181" i="111"/>
  <c r="B181" i="111"/>
  <c r="B175" i="111"/>
  <c r="AC180" i="111"/>
  <c r="AE180" i="111"/>
  <c r="AC179" i="111"/>
  <c r="AE179" i="111"/>
  <c r="AC178" i="111"/>
  <c r="AE178" i="111"/>
  <c r="AC177" i="111"/>
  <c r="AE177" i="111"/>
  <c r="C176" i="111"/>
  <c r="AG175" i="111"/>
  <c r="AC173" i="111"/>
  <c r="AE173" i="111"/>
  <c r="AE172" i="111"/>
  <c r="AC172" i="111"/>
  <c r="AC171" i="111"/>
  <c r="AE171" i="111"/>
  <c r="AC170" i="111"/>
  <c r="AE170" i="111"/>
  <c r="AG169" i="111"/>
  <c r="D169" i="111"/>
  <c r="D150" i="111"/>
  <c r="C169" i="111"/>
  <c r="C150" i="111"/>
  <c r="AC168" i="111"/>
  <c r="AE168" i="111"/>
  <c r="B166" i="111"/>
  <c r="AC166" i="111"/>
  <c r="AE166" i="111"/>
  <c r="AC165" i="111"/>
  <c r="AE165" i="111"/>
  <c r="B163" i="111"/>
  <c r="AC163" i="111"/>
  <c r="AE163" i="111"/>
  <c r="AC162" i="111"/>
  <c r="AE162" i="111"/>
  <c r="B160" i="111"/>
  <c r="AC160" i="111"/>
  <c r="AE160" i="111"/>
  <c r="AC159" i="111"/>
  <c r="AE159" i="111"/>
  <c r="AC158" i="111"/>
  <c r="AE158" i="111"/>
  <c r="B157" i="111"/>
  <c r="AC157" i="111"/>
  <c r="AE157" i="111"/>
  <c r="AC156" i="111"/>
  <c r="AE156" i="111"/>
  <c r="AC155" i="111"/>
  <c r="AE155" i="111"/>
  <c r="B154" i="111"/>
  <c r="AC154" i="111"/>
  <c r="AE154" i="111"/>
  <c r="AC153" i="111"/>
  <c r="AE153" i="111"/>
  <c r="AC152" i="111"/>
  <c r="AE152" i="111"/>
  <c r="B151" i="111"/>
  <c r="AC151" i="111"/>
  <c r="AE151" i="111"/>
  <c r="AC149" i="111"/>
  <c r="AE149" i="111"/>
  <c r="AC148" i="111"/>
  <c r="AE148" i="111"/>
  <c r="AC147" i="111"/>
  <c r="AE147" i="111"/>
  <c r="AC146" i="111"/>
  <c r="AE146" i="111"/>
  <c r="AC145" i="111"/>
  <c r="AE145" i="111"/>
  <c r="AC144" i="111"/>
  <c r="AE144" i="111"/>
  <c r="AC143" i="111"/>
  <c r="AE143" i="111"/>
  <c r="AC141" i="111"/>
  <c r="AE141" i="111"/>
  <c r="AC140" i="111"/>
  <c r="AE140" i="111"/>
  <c r="AC139" i="111"/>
  <c r="AE139" i="111"/>
  <c r="AC138" i="111"/>
  <c r="AE138" i="111"/>
  <c r="AC137" i="111"/>
  <c r="AE137" i="111"/>
  <c r="AC136" i="111"/>
  <c r="AE136" i="111"/>
  <c r="AC135" i="111"/>
  <c r="AE135" i="111"/>
  <c r="AC134" i="111"/>
  <c r="AE134" i="111"/>
  <c r="AC133" i="111"/>
  <c r="AE133" i="111"/>
  <c r="D132" i="111"/>
  <c r="C132" i="111"/>
  <c r="AC132" i="111"/>
  <c r="AE132" i="111"/>
  <c r="AC130" i="111"/>
  <c r="AE130" i="111"/>
  <c r="AC129" i="111"/>
  <c r="AE129" i="111"/>
  <c r="AC128" i="111"/>
  <c r="AE128" i="111"/>
  <c r="AC126" i="111"/>
  <c r="AE126" i="111"/>
  <c r="AC125" i="111"/>
  <c r="AE125" i="111"/>
  <c r="AC124" i="111"/>
  <c r="AE124" i="111" s="1"/>
  <c r="AC123" i="111"/>
  <c r="AE123" i="111"/>
  <c r="D122" i="111"/>
  <c r="C122" i="111"/>
  <c r="AG121" i="111"/>
  <c r="B121" i="111"/>
  <c r="AC118" i="111"/>
  <c r="AC117" i="111"/>
  <c r="AE117" i="111"/>
  <c r="B117" i="111"/>
  <c r="AC113" i="111"/>
  <c r="AE113" i="111"/>
  <c r="AC112" i="111"/>
  <c r="AE112" i="111"/>
  <c r="AB112" i="111"/>
  <c r="AC110" i="111"/>
  <c r="AE110" i="111"/>
  <c r="AC109" i="111"/>
  <c r="AE109" i="111"/>
  <c r="AC108" i="111"/>
  <c r="AE108" i="111"/>
  <c r="AC107" i="111"/>
  <c r="AE107" i="111"/>
  <c r="AC106" i="111"/>
  <c r="AE106" i="111"/>
  <c r="S105" i="111"/>
  <c r="S68" i="111"/>
  <c r="R105" i="111"/>
  <c r="R68" i="111"/>
  <c r="Q105" i="111"/>
  <c r="Q68" i="111"/>
  <c r="P105" i="111"/>
  <c r="P68" i="111"/>
  <c r="O105" i="111"/>
  <c r="N105" i="111"/>
  <c r="N68" i="111"/>
  <c r="M105" i="111"/>
  <c r="M68" i="111"/>
  <c r="L105" i="111"/>
  <c r="L68" i="111"/>
  <c r="K105" i="111"/>
  <c r="K68" i="111"/>
  <c r="J105" i="111"/>
  <c r="J68" i="111"/>
  <c r="I105" i="111"/>
  <c r="I68" i="111"/>
  <c r="I7" i="111"/>
  <c r="H105" i="111"/>
  <c r="G105" i="111"/>
  <c r="F105" i="111"/>
  <c r="AC102" i="111"/>
  <c r="AE102" i="111"/>
  <c r="AC101" i="111"/>
  <c r="AE101" i="111"/>
  <c r="AC100" i="111"/>
  <c r="AC99" i="111"/>
  <c r="AE99" i="111"/>
  <c r="AB99" i="111"/>
  <c r="AA99" i="111"/>
  <c r="Z99" i="111"/>
  <c r="Y99" i="111"/>
  <c r="X99" i="111"/>
  <c r="W99" i="111"/>
  <c r="V99" i="111"/>
  <c r="U99" i="111"/>
  <c r="U68" i="111"/>
  <c r="T99" i="111"/>
  <c r="T68" i="111"/>
  <c r="E99" i="111"/>
  <c r="D99" i="111"/>
  <c r="AC96" i="111"/>
  <c r="AC95" i="111"/>
  <c r="AE95" i="111"/>
  <c r="B94" i="111"/>
  <c r="AC91" i="111"/>
  <c r="AE91" i="111"/>
  <c r="AC89" i="111"/>
  <c r="AE89" i="111"/>
  <c r="AC88" i="111"/>
  <c r="AE88" i="111"/>
  <c r="AC87" i="111"/>
  <c r="AE87" i="111"/>
  <c r="AC86" i="111"/>
  <c r="AE86" i="111"/>
  <c r="C86" i="111"/>
  <c r="B86" i="111"/>
  <c r="AC85" i="111"/>
  <c r="AE85" i="111"/>
  <c r="AC84" i="111"/>
  <c r="AE84" i="111"/>
  <c r="AC83" i="111"/>
  <c r="AE83" i="111"/>
  <c r="AC82" i="111"/>
  <c r="AE82" i="111"/>
  <c r="AC81" i="111"/>
  <c r="AE81" i="111"/>
  <c r="AC80" i="111"/>
  <c r="AE80" i="111"/>
  <c r="AC79" i="111"/>
  <c r="AE79" i="111"/>
  <c r="AC78" i="111"/>
  <c r="AE78" i="111"/>
  <c r="AC77" i="111"/>
  <c r="AE77" i="111"/>
  <c r="AC76" i="111"/>
  <c r="AE76" i="111"/>
  <c r="AC75" i="111"/>
  <c r="AE75" i="111"/>
  <c r="E75" i="111"/>
  <c r="D75" i="111"/>
  <c r="C75" i="111"/>
  <c r="B75" i="111"/>
  <c r="AC74" i="111"/>
  <c r="AE74" i="111"/>
  <c r="AC73" i="111"/>
  <c r="AE73" i="111"/>
  <c r="AC72" i="111"/>
  <c r="AE72" i="111"/>
  <c r="AC71" i="111"/>
  <c r="AE71" i="111"/>
  <c r="AC70" i="111"/>
  <c r="AE70" i="111"/>
  <c r="AC69" i="111"/>
  <c r="AE69" i="111"/>
  <c r="B69" i="111"/>
  <c r="AB68" i="111"/>
  <c r="AB9" i="111"/>
  <c r="AA68" i="111"/>
  <c r="AA9" i="111"/>
  <c r="Z68" i="111"/>
  <c r="Z9" i="111"/>
  <c r="Y68" i="111"/>
  <c r="Y9" i="111"/>
  <c r="X68" i="111"/>
  <c r="X9" i="111"/>
  <c r="W68" i="111"/>
  <c r="W7" i="111"/>
  <c r="V68" i="111"/>
  <c r="V7" i="111"/>
  <c r="O68" i="111"/>
  <c r="H68" i="111"/>
  <c r="H7" i="111"/>
  <c r="G68" i="111"/>
  <c r="G7" i="111"/>
  <c r="F68" i="111"/>
  <c r="F7" i="111"/>
  <c r="E68" i="111"/>
  <c r="E9" i="111"/>
  <c r="D68" i="111"/>
  <c r="C68" i="111"/>
  <c r="B68" i="111"/>
  <c r="AC67" i="111"/>
  <c r="AE67" i="111" s="1"/>
  <c r="AC66" i="111"/>
  <c r="AE66" i="111"/>
  <c r="AC65" i="111"/>
  <c r="AE65" i="111"/>
  <c r="D64" i="111"/>
  <c r="C64" i="111"/>
  <c r="B64" i="111"/>
  <c r="AC64" i="111"/>
  <c r="AE64" i="111"/>
  <c r="AC63" i="111"/>
  <c r="AE63" i="111"/>
  <c r="AC62" i="111"/>
  <c r="AE62" i="111"/>
  <c r="AC61" i="111"/>
  <c r="AE61" i="111"/>
  <c r="D60" i="111"/>
  <c r="C60" i="111"/>
  <c r="B60" i="111"/>
  <c r="AC60" i="111"/>
  <c r="AG59" i="111"/>
  <c r="AG53" i="111"/>
  <c r="D59" i="111"/>
  <c r="D53" i="111"/>
  <c r="C59" i="111"/>
  <c r="B59" i="111"/>
  <c r="AC57" i="111"/>
  <c r="AE57" i="111"/>
  <c r="AC56" i="111"/>
  <c r="AE56" i="111"/>
  <c r="C55" i="111"/>
  <c r="B55" i="111"/>
  <c r="B54" i="111"/>
  <c r="AC52" i="111"/>
  <c r="AE52" i="111"/>
  <c r="AC51" i="111"/>
  <c r="AE51" i="111"/>
  <c r="AC50" i="111"/>
  <c r="AC49" i="111"/>
  <c r="AE49" i="111"/>
  <c r="AG49" i="111"/>
  <c r="D49" i="111"/>
  <c r="C49" i="111"/>
  <c r="B49" i="111"/>
  <c r="AC47" i="111"/>
  <c r="AE47" i="111"/>
  <c r="AC46" i="111"/>
  <c r="AE46" i="111"/>
  <c r="AC45" i="111"/>
  <c r="AE45" i="111"/>
  <c r="AC44" i="111"/>
  <c r="AE44" i="111"/>
  <c r="AG43" i="111"/>
  <c r="D43" i="111"/>
  <c r="C43" i="111"/>
  <c r="B43" i="111"/>
  <c r="AC42" i="111"/>
  <c r="AE42" i="111"/>
  <c r="AC41" i="111"/>
  <c r="AE41" i="111"/>
  <c r="AC40" i="111"/>
  <c r="AE40" i="111"/>
  <c r="D39" i="111"/>
  <c r="C39" i="111"/>
  <c r="B39" i="111"/>
  <c r="AC39" i="111"/>
  <c r="AE39" i="111"/>
  <c r="AC37" i="111"/>
  <c r="AE37" i="111"/>
  <c r="AC35" i="111"/>
  <c r="AE35" i="111"/>
  <c r="AC33" i="111"/>
  <c r="AE33" i="111"/>
  <c r="AC31" i="111"/>
  <c r="AE31" i="111"/>
  <c r="AC29" i="111"/>
  <c r="AE29" i="111"/>
  <c r="AC28" i="111"/>
  <c r="AE28" i="111"/>
  <c r="AC27" i="111"/>
  <c r="AE27" i="111"/>
  <c r="D26" i="111"/>
  <c r="C26" i="111"/>
  <c r="B26" i="111"/>
  <c r="AC25" i="111"/>
  <c r="AE25" i="111"/>
  <c r="AC24" i="111"/>
  <c r="AE24" i="111"/>
  <c r="AC23" i="111"/>
  <c r="AE23" i="111"/>
  <c r="D21" i="111"/>
  <c r="C21" i="111"/>
  <c r="B21" i="111"/>
  <c r="AC21" i="111"/>
  <c r="AE21" i="111"/>
  <c r="AC20" i="111"/>
  <c r="AE20" i="111"/>
  <c r="AC19" i="111"/>
  <c r="AE19" i="111"/>
  <c r="AG18" i="111"/>
  <c r="D18" i="111"/>
  <c r="C18" i="111"/>
  <c r="B18" i="111"/>
  <c r="AC17" i="111"/>
  <c r="AE17" i="111"/>
  <c r="AC16" i="111"/>
  <c r="AE16" i="111"/>
  <c r="D15" i="111"/>
  <c r="C15" i="111"/>
  <c r="B15" i="111"/>
  <c r="AC14" i="111"/>
  <c r="AE14" i="111"/>
  <c r="AC13" i="111"/>
  <c r="AE13" i="111"/>
  <c r="AG12" i="111"/>
  <c r="D12" i="111"/>
  <c r="C12" i="111"/>
  <c r="B12" i="111"/>
  <c r="W9" i="111"/>
  <c r="V9" i="111"/>
  <c r="U9" i="111"/>
  <c r="T9" i="111"/>
  <c r="S9" i="111"/>
  <c r="R9" i="111"/>
  <c r="Q9" i="111"/>
  <c r="AB8" i="111"/>
  <c r="U8" i="111"/>
  <c r="T8" i="111"/>
  <c r="S8" i="111"/>
  <c r="R8" i="111"/>
  <c r="K8" i="111"/>
  <c r="Q7" i="111"/>
  <c r="AC193" i="110"/>
  <c r="AE193" i="110" s="1"/>
  <c r="AC191" i="110"/>
  <c r="AE191" i="110"/>
  <c r="AG190" i="110"/>
  <c r="D190" i="110"/>
  <c r="C190" i="110"/>
  <c r="B190" i="110"/>
  <c r="AE187" i="110"/>
  <c r="AC186" i="110"/>
  <c r="AE186" i="110"/>
  <c r="AC185" i="110"/>
  <c r="AE185" i="110"/>
  <c r="D184" i="110"/>
  <c r="C184" i="110"/>
  <c r="AC183" i="110"/>
  <c r="AE183" i="110"/>
  <c r="AC182" i="110"/>
  <c r="AE182" i="110"/>
  <c r="AG181" i="110"/>
  <c r="D181" i="110"/>
  <c r="D175" i="110"/>
  <c r="C181" i="110"/>
  <c r="B181" i="110"/>
  <c r="AC180" i="110"/>
  <c r="AE180" i="110"/>
  <c r="AC179" i="110"/>
  <c r="AE179" i="110"/>
  <c r="AC178" i="110"/>
  <c r="AE178" i="110"/>
  <c r="AC177" i="110"/>
  <c r="AE177" i="110"/>
  <c r="C176" i="110"/>
  <c r="AG175" i="110"/>
  <c r="B175" i="110"/>
  <c r="AC173" i="110"/>
  <c r="AE173" i="110"/>
  <c r="AE172" i="110"/>
  <c r="AC172" i="110"/>
  <c r="AC171" i="110"/>
  <c r="AE171" i="110"/>
  <c r="AC170" i="110"/>
  <c r="AE170" i="110"/>
  <c r="AG169" i="110"/>
  <c r="D169" i="110"/>
  <c r="D150" i="110"/>
  <c r="C169" i="110"/>
  <c r="C150" i="110"/>
  <c r="AC168" i="110"/>
  <c r="AE168" i="110"/>
  <c r="B166" i="110"/>
  <c r="AC166" i="110"/>
  <c r="AE166" i="110"/>
  <c r="AC165" i="110"/>
  <c r="AE165" i="110"/>
  <c r="B163" i="110"/>
  <c r="AC163" i="110"/>
  <c r="AE163" i="110"/>
  <c r="AC162" i="110"/>
  <c r="AE162" i="110"/>
  <c r="B160" i="110"/>
  <c r="AC160" i="110"/>
  <c r="AE160" i="110"/>
  <c r="AC159" i="110"/>
  <c r="AE159" i="110"/>
  <c r="AC158" i="110"/>
  <c r="AE158" i="110"/>
  <c r="B157" i="110"/>
  <c r="AC157" i="110"/>
  <c r="AE157" i="110"/>
  <c r="AC156" i="110"/>
  <c r="AE156" i="110"/>
  <c r="AC155" i="110"/>
  <c r="AE155" i="110"/>
  <c r="B154" i="110"/>
  <c r="AC154" i="110"/>
  <c r="AE154" i="110"/>
  <c r="AC153" i="110"/>
  <c r="AE153" i="110"/>
  <c r="AC152" i="110"/>
  <c r="AE152" i="110"/>
  <c r="B151" i="110"/>
  <c r="AC149" i="110"/>
  <c r="AE149" i="110"/>
  <c r="AC148" i="110"/>
  <c r="AE148" i="110"/>
  <c r="AC147" i="110"/>
  <c r="AE147" i="110"/>
  <c r="AC146" i="110"/>
  <c r="AE146" i="110"/>
  <c r="AC145" i="110"/>
  <c r="AE145" i="110"/>
  <c r="AC144" i="110"/>
  <c r="AE144" i="110"/>
  <c r="AC143" i="110"/>
  <c r="AE143" i="110"/>
  <c r="AC141" i="110"/>
  <c r="AE141" i="110"/>
  <c r="AC140" i="110"/>
  <c r="AE140" i="110"/>
  <c r="AC139" i="110"/>
  <c r="AE139" i="110"/>
  <c r="AC138" i="110"/>
  <c r="AE138" i="110"/>
  <c r="AC137" i="110"/>
  <c r="AE137" i="110"/>
  <c r="AC136" i="110"/>
  <c r="AE136" i="110"/>
  <c r="AC135" i="110"/>
  <c r="AE135" i="110"/>
  <c r="AC134" i="110"/>
  <c r="AE134" i="110"/>
  <c r="AC133" i="110"/>
  <c r="AE133" i="110"/>
  <c r="D132" i="110"/>
  <c r="C132" i="110"/>
  <c r="AC130" i="110"/>
  <c r="AE130" i="110"/>
  <c r="AC129" i="110"/>
  <c r="AE129" i="110"/>
  <c r="AC128" i="110"/>
  <c r="AE128" i="110"/>
  <c r="AC126" i="110"/>
  <c r="AE126" i="110"/>
  <c r="AC125" i="110"/>
  <c r="AE125" i="110"/>
  <c r="AC124" i="110"/>
  <c r="AE124" i="110"/>
  <c r="AC123" i="110"/>
  <c r="AE123" i="110"/>
  <c r="D122" i="110"/>
  <c r="C122" i="110"/>
  <c r="AC122" i="110"/>
  <c r="AE122" i="110"/>
  <c r="AG121" i="110"/>
  <c r="C121" i="110"/>
  <c r="B121" i="110"/>
  <c r="AC118" i="110"/>
  <c r="AC117" i="110"/>
  <c r="AE117" i="110"/>
  <c r="B117" i="110"/>
  <c r="AC113" i="110"/>
  <c r="AE113" i="110"/>
  <c r="AC112" i="110"/>
  <c r="AE112" i="110"/>
  <c r="AB112" i="110"/>
  <c r="AC110" i="110"/>
  <c r="AE110" i="110"/>
  <c r="AC109" i="110"/>
  <c r="AE109" i="110"/>
  <c r="AC108" i="110"/>
  <c r="AE108" i="110"/>
  <c r="AC107" i="110"/>
  <c r="AE107" i="110"/>
  <c r="AC106" i="110"/>
  <c r="AE106" i="110"/>
  <c r="AC105" i="110"/>
  <c r="AE105" i="110"/>
  <c r="S105" i="110"/>
  <c r="S68" i="110"/>
  <c r="R105" i="110"/>
  <c r="R68" i="110"/>
  <c r="Q105" i="110"/>
  <c r="Q68" i="110"/>
  <c r="P105" i="110"/>
  <c r="P68" i="110"/>
  <c r="O105" i="110"/>
  <c r="N105" i="110"/>
  <c r="M105" i="110"/>
  <c r="L105" i="110"/>
  <c r="L68" i="110"/>
  <c r="K105" i="110"/>
  <c r="K68" i="110"/>
  <c r="J105" i="110"/>
  <c r="I105" i="110"/>
  <c r="H105" i="110"/>
  <c r="G105" i="110"/>
  <c r="F105" i="110"/>
  <c r="AC102" i="110"/>
  <c r="AE102" i="110"/>
  <c r="AC101" i="110"/>
  <c r="AE101" i="110"/>
  <c r="AC100" i="110"/>
  <c r="AE100" i="110"/>
  <c r="AB99" i="110"/>
  <c r="AB68" i="110"/>
  <c r="AA99" i="110"/>
  <c r="AA68" i="110"/>
  <c r="Z99" i="110"/>
  <c r="Z68" i="110"/>
  <c r="Y99" i="110"/>
  <c r="X99" i="110"/>
  <c r="W99" i="110"/>
  <c r="V99" i="110"/>
  <c r="U99" i="110"/>
  <c r="T99" i="110"/>
  <c r="T68" i="110"/>
  <c r="E99" i="110"/>
  <c r="D99" i="110"/>
  <c r="AC96" i="110"/>
  <c r="AE96" i="110"/>
  <c r="AC95" i="110"/>
  <c r="AE95" i="110"/>
  <c r="B94" i="110"/>
  <c r="AC91" i="110"/>
  <c r="AE91" i="110"/>
  <c r="AC89" i="110"/>
  <c r="AE89" i="110"/>
  <c r="AC88" i="110"/>
  <c r="AE88" i="110"/>
  <c r="AC87" i="110"/>
  <c r="AE87" i="110"/>
  <c r="C86" i="110"/>
  <c r="B86" i="110"/>
  <c r="AC85" i="110"/>
  <c r="AE85" i="110"/>
  <c r="AC84" i="110"/>
  <c r="AE84" i="110"/>
  <c r="AC83" i="110"/>
  <c r="AE83" i="110"/>
  <c r="AC82" i="110"/>
  <c r="AE82" i="110"/>
  <c r="AC81" i="110"/>
  <c r="AE81" i="110"/>
  <c r="AC80" i="110"/>
  <c r="AE80" i="110"/>
  <c r="AC79" i="110"/>
  <c r="AE79" i="110"/>
  <c r="AC78" i="110"/>
  <c r="AE78" i="110"/>
  <c r="AC77" i="110"/>
  <c r="AE77" i="110"/>
  <c r="AC76" i="110"/>
  <c r="AE76" i="110"/>
  <c r="E75" i="110"/>
  <c r="D75" i="110"/>
  <c r="C75" i="110"/>
  <c r="B75" i="110"/>
  <c r="AC74" i="110"/>
  <c r="AE74" i="110"/>
  <c r="AC73" i="110"/>
  <c r="AE73" i="110"/>
  <c r="AC72" i="110"/>
  <c r="AE72" i="110"/>
  <c r="AC71" i="110"/>
  <c r="AE71" i="110"/>
  <c r="AC70" i="110"/>
  <c r="AE70" i="110"/>
  <c r="B69" i="110"/>
  <c r="Y68" i="110"/>
  <c r="Y9" i="110"/>
  <c r="X68" i="110"/>
  <c r="W68" i="110"/>
  <c r="V68" i="110"/>
  <c r="U68" i="110"/>
  <c r="U188" i="110"/>
  <c r="O68" i="110"/>
  <c r="O188" i="110"/>
  <c r="N68" i="110"/>
  <c r="M68" i="110"/>
  <c r="M188" i="110"/>
  <c r="J68" i="110"/>
  <c r="J9" i="110"/>
  <c r="I68" i="110"/>
  <c r="I9" i="110"/>
  <c r="H68" i="110"/>
  <c r="H9" i="110"/>
  <c r="G68" i="110"/>
  <c r="G9" i="110"/>
  <c r="F68" i="110"/>
  <c r="F9" i="110"/>
  <c r="E68" i="110"/>
  <c r="D68" i="110"/>
  <c r="C68" i="110"/>
  <c r="B68" i="110"/>
  <c r="AC67" i="110"/>
  <c r="AE67" i="110" s="1"/>
  <c r="AC66" i="110"/>
  <c r="AE66" i="110"/>
  <c r="AC65" i="110"/>
  <c r="AE65" i="110" s="1"/>
  <c r="D64" i="110"/>
  <c r="C64" i="110"/>
  <c r="B64" i="110"/>
  <c r="AC64" i="110"/>
  <c r="AE64" i="110"/>
  <c r="AC63" i="110"/>
  <c r="AE63" i="110"/>
  <c r="AC62" i="110"/>
  <c r="AE62" i="110"/>
  <c r="AC61" i="110"/>
  <c r="AE61" i="110"/>
  <c r="D60" i="110"/>
  <c r="D59" i="110"/>
  <c r="D53" i="110"/>
  <c r="C60" i="110"/>
  <c r="C59" i="110"/>
  <c r="B60" i="110"/>
  <c r="AC60" i="110"/>
  <c r="AG59" i="110"/>
  <c r="AG53" i="110"/>
  <c r="AC57" i="110"/>
  <c r="AE57" i="110"/>
  <c r="AC56" i="110"/>
  <c r="AE56" i="110"/>
  <c r="C55" i="110"/>
  <c r="C54" i="110"/>
  <c r="B55" i="110"/>
  <c r="AC55" i="110"/>
  <c r="AE55" i="110"/>
  <c r="B54" i="110"/>
  <c r="AC52" i="110"/>
  <c r="AE52" i="110"/>
  <c r="AC51" i="110"/>
  <c r="AE51" i="110"/>
  <c r="AC50" i="110"/>
  <c r="AC49" i="110"/>
  <c r="AE49" i="110"/>
  <c r="AG49" i="110"/>
  <c r="D49" i="110"/>
  <c r="C49" i="110"/>
  <c r="B49" i="110"/>
  <c r="AC47" i="110"/>
  <c r="AE47" i="110"/>
  <c r="AC46" i="110"/>
  <c r="AE46" i="110"/>
  <c r="AC45" i="110"/>
  <c r="AE45" i="110"/>
  <c r="AC44" i="110"/>
  <c r="AE44" i="110"/>
  <c r="AG43" i="110"/>
  <c r="AC43" i="110"/>
  <c r="AE43" i="110"/>
  <c r="D43" i="110"/>
  <c r="C43" i="110"/>
  <c r="B43" i="110"/>
  <c r="AC42" i="110"/>
  <c r="AE42" i="110"/>
  <c r="AC41" i="110"/>
  <c r="AE41" i="110"/>
  <c r="AC40" i="110"/>
  <c r="AE40" i="110"/>
  <c r="D39" i="110"/>
  <c r="C39" i="110"/>
  <c r="B39" i="110"/>
  <c r="AC39" i="110"/>
  <c r="AE39" i="110"/>
  <c r="AC37" i="110"/>
  <c r="AE37" i="110"/>
  <c r="AC35" i="110"/>
  <c r="AE35" i="110"/>
  <c r="AC33" i="110"/>
  <c r="AE33" i="110"/>
  <c r="AC31" i="110"/>
  <c r="AE31" i="110"/>
  <c r="AC29" i="110"/>
  <c r="AE29" i="110"/>
  <c r="AC28" i="110"/>
  <c r="AE28" i="110"/>
  <c r="AC27" i="110"/>
  <c r="AE27" i="110"/>
  <c r="D26" i="110"/>
  <c r="C26" i="110"/>
  <c r="B26" i="110"/>
  <c r="AC25" i="110"/>
  <c r="AE25" i="110"/>
  <c r="AC24" i="110"/>
  <c r="AE24" i="110"/>
  <c r="AC23" i="110"/>
  <c r="AE23" i="110"/>
  <c r="D21" i="110"/>
  <c r="C21" i="110"/>
  <c r="B21" i="110"/>
  <c r="AC21" i="110"/>
  <c r="AC20" i="110"/>
  <c r="AE20" i="110"/>
  <c r="AC19" i="110"/>
  <c r="AE19" i="110"/>
  <c r="AG18" i="110"/>
  <c r="D18" i="110"/>
  <c r="C18" i="110"/>
  <c r="AC17" i="110"/>
  <c r="AE17" i="110"/>
  <c r="AC16" i="110"/>
  <c r="AE16" i="110"/>
  <c r="D15" i="110"/>
  <c r="C15" i="110"/>
  <c r="B15" i="110"/>
  <c r="AC14" i="110"/>
  <c r="AE14" i="110" s="1"/>
  <c r="AC13" i="110"/>
  <c r="AE13" i="110"/>
  <c r="AG12" i="110"/>
  <c r="D12" i="110"/>
  <c r="D11" i="110"/>
  <c r="D10" i="110"/>
  <c r="D7" i="110" s="1"/>
  <c r="C12" i="110"/>
  <c r="C11" i="110"/>
  <c r="B12" i="110"/>
  <c r="AG11" i="110"/>
  <c r="X9" i="110"/>
  <c r="W9" i="110"/>
  <c r="V9" i="110"/>
  <c r="U9" i="110"/>
  <c r="O9" i="110"/>
  <c r="N9" i="110"/>
  <c r="M9" i="110"/>
  <c r="X8" i="110"/>
  <c r="W8" i="110"/>
  <c r="V8" i="110"/>
  <c r="U8" i="110"/>
  <c r="N8" i="110"/>
  <c r="M8" i="110"/>
  <c r="E8" i="110"/>
  <c r="U7" i="110"/>
  <c r="I7" i="110"/>
  <c r="H7" i="110"/>
  <c r="E7" i="110"/>
  <c r="AC193" i="109"/>
  <c r="AE193" i="109"/>
  <c r="AC191" i="109"/>
  <c r="AE191" i="109"/>
  <c r="AG190" i="109"/>
  <c r="AC190" i="109"/>
  <c r="AE190" i="109"/>
  <c r="D190" i="109"/>
  <c r="C190" i="109"/>
  <c r="B190" i="109"/>
  <c r="AE187" i="109"/>
  <c r="AC186" i="109"/>
  <c r="AE186" i="109"/>
  <c r="AC185" i="109"/>
  <c r="AE185" i="109"/>
  <c r="AC184" i="109"/>
  <c r="AE184" i="109"/>
  <c r="AC183" i="109"/>
  <c r="AE183" i="109"/>
  <c r="AC182" i="109"/>
  <c r="AE182" i="109"/>
  <c r="AG181" i="109"/>
  <c r="AC181" i="109"/>
  <c r="AE181" i="109"/>
  <c r="AC180" i="109"/>
  <c r="AE180" i="109"/>
  <c r="AC179" i="109"/>
  <c r="AE179" i="109"/>
  <c r="AC178" i="109"/>
  <c r="AE178" i="109"/>
  <c r="AC177" i="109"/>
  <c r="AE177" i="109"/>
  <c r="C176" i="109"/>
  <c r="AG175" i="109"/>
  <c r="B175" i="109"/>
  <c r="AC173" i="109"/>
  <c r="AE173" i="109"/>
  <c r="AC172" i="109"/>
  <c r="AE172" i="109"/>
  <c r="AC171" i="109"/>
  <c r="AE171" i="109"/>
  <c r="AC170" i="109"/>
  <c r="AE170" i="109"/>
  <c r="AG169" i="109"/>
  <c r="D169" i="109"/>
  <c r="D150" i="109"/>
  <c r="C169" i="109"/>
  <c r="AC169" i="109"/>
  <c r="AE169" i="109"/>
  <c r="AC168" i="109"/>
  <c r="AE168" i="109"/>
  <c r="B166" i="109"/>
  <c r="AC166" i="109"/>
  <c r="AE166" i="109"/>
  <c r="AC165" i="109"/>
  <c r="AE165" i="109"/>
  <c r="B163" i="109"/>
  <c r="AC163" i="109"/>
  <c r="AE163" i="109"/>
  <c r="AC162" i="109"/>
  <c r="AE162" i="109"/>
  <c r="B160" i="109"/>
  <c r="AC160" i="109"/>
  <c r="AE160" i="109"/>
  <c r="AC159" i="109"/>
  <c r="AE159" i="109"/>
  <c r="AC158" i="109"/>
  <c r="AE158" i="109"/>
  <c r="B157" i="109"/>
  <c r="AC157" i="109"/>
  <c r="AE157" i="109"/>
  <c r="AC156" i="109"/>
  <c r="AE156" i="109"/>
  <c r="AC155" i="109"/>
  <c r="AE155" i="109"/>
  <c r="B154" i="109"/>
  <c r="AC153" i="109"/>
  <c r="AE153" i="109"/>
  <c r="AC152" i="109"/>
  <c r="AE152" i="109"/>
  <c r="B151" i="109"/>
  <c r="AC151" i="109"/>
  <c r="AE151" i="109"/>
  <c r="AC149" i="109"/>
  <c r="AE149" i="109"/>
  <c r="AC148" i="109"/>
  <c r="AE148" i="109"/>
  <c r="AC147" i="109"/>
  <c r="AE147" i="109"/>
  <c r="AC146" i="109"/>
  <c r="AE146" i="109"/>
  <c r="AC145" i="109"/>
  <c r="AE145" i="109"/>
  <c r="AC144" i="109"/>
  <c r="AE144" i="109"/>
  <c r="AC143" i="109"/>
  <c r="AE143" i="109"/>
  <c r="AC141" i="109"/>
  <c r="AE141" i="109"/>
  <c r="AC140" i="109"/>
  <c r="AE140" i="109"/>
  <c r="AC139" i="109"/>
  <c r="AE139" i="109"/>
  <c r="AC138" i="109"/>
  <c r="AE138" i="109"/>
  <c r="AC137" i="109"/>
  <c r="AE137" i="109"/>
  <c r="AC136" i="109"/>
  <c r="AE136" i="109"/>
  <c r="AC135" i="109"/>
  <c r="AE135" i="109"/>
  <c r="AC134" i="109"/>
  <c r="AE134" i="109"/>
  <c r="AC133" i="109"/>
  <c r="AE133" i="109"/>
  <c r="D132" i="109"/>
  <c r="D121" i="109"/>
  <c r="C132" i="109"/>
  <c r="AC132" i="109"/>
  <c r="AE132" i="109"/>
  <c r="AC130" i="109"/>
  <c r="AE130" i="109"/>
  <c r="AC129" i="109"/>
  <c r="AE129" i="109"/>
  <c r="AC128" i="109"/>
  <c r="AE128" i="109"/>
  <c r="AC126" i="109"/>
  <c r="AE126" i="109"/>
  <c r="AC125" i="109"/>
  <c r="AE125" i="109"/>
  <c r="AC124" i="109"/>
  <c r="AE124" i="109"/>
  <c r="AC123" i="109"/>
  <c r="AE123" i="109"/>
  <c r="D122" i="109"/>
  <c r="C122" i="109"/>
  <c r="AC122" i="109"/>
  <c r="AE122" i="109"/>
  <c r="AG121" i="109"/>
  <c r="B121" i="109"/>
  <c r="AC118" i="109"/>
  <c r="AC117" i="109"/>
  <c r="AE117" i="109"/>
  <c r="B117" i="109"/>
  <c r="AC113" i="109"/>
  <c r="AE113" i="109"/>
  <c r="AC112" i="109"/>
  <c r="AE112" i="109"/>
  <c r="AB112" i="109"/>
  <c r="AC110" i="109"/>
  <c r="AE110" i="109"/>
  <c r="AC109" i="109"/>
  <c r="AE109" i="109"/>
  <c r="AC108" i="109"/>
  <c r="AE108" i="109"/>
  <c r="AC107" i="109"/>
  <c r="AE107" i="109"/>
  <c r="AC106" i="109"/>
  <c r="AE106" i="109"/>
  <c r="AC105" i="109"/>
  <c r="AE105" i="109"/>
  <c r="S105" i="109"/>
  <c r="S68" i="109"/>
  <c r="R105" i="109"/>
  <c r="R68" i="109"/>
  <c r="R8" i="109"/>
  <c r="Q105" i="109"/>
  <c r="Q68" i="109"/>
  <c r="Q9" i="109"/>
  <c r="P105" i="109"/>
  <c r="P68" i="109"/>
  <c r="P9" i="109"/>
  <c r="O105" i="109"/>
  <c r="N105" i="109"/>
  <c r="M105" i="109"/>
  <c r="L105" i="109"/>
  <c r="K105" i="109"/>
  <c r="K68" i="109"/>
  <c r="J105" i="109"/>
  <c r="I105" i="109"/>
  <c r="H105" i="109"/>
  <c r="G105" i="109"/>
  <c r="F105" i="109"/>
  <c r="AC102" i="109"/>
  <c r="AE102" i="109"/>
  <c r="AC101" i="109"/>
  <c r="AE101" i="109"/>
  <c r="AC100" i="109"/>
  <c r="AE100" i="109"/>
  <c r="AC99" i="109"/>
  <c r="AE99" i="109"/>
  <c r="AB99" i="109"/>
  <c r="AB68" i="109"/>
  <c r="AA99" i="109"/>
  <c r="AA68" i="109"/>
  <c r="Z99" i="109"/>
  <c r="Z68" i="109"/>
  <c r="Y99" i="109"/>
  <c r="Y68" i="109"/>
  <c r="X99" i="109"/>
  <c r="X68" i="109"/>
  <c r="W99" i="109"/>
  <c r="W68" i="109"/>
  <c r="V99" i="109"/>
  <c r="U99" i="109"/>
  <c r="U68" i="109"/>
  <c r="U188" i="109"/>
  <c r="T99" i="109"/>
  <c r="E99" i="109"/>
  <c r="D99" i="109"/>
  <c r="AC96" i="109"/>
  <c r="AE96" i="109"/>
  <c r="AC95" i="109"/>
  <c r="B94" i="109"/>
  <c r="AC91" i="109"/>
  <c r="AE91" i="109"/>
  <c r="AC89" i="109"/>
  <c r="AE89" i="109"/>
  <c r="AC88" i="109"/>
  <c r="AE88" i="109"/>
  <c r="AC87" i="109"/>
  <c r="AE87" i="109"/>
  <c r="C86" i="109"/>
  <c r="B86" i="109"/>
  <c r="AC85" i="109"/>
  <c r="AE85" i="109"/>
  <c r="AC84" i="109"/>
  <c r="AE84" i="109"/>
  <c r="AC83" i="109"/>
  <c r="AE83" i="109"/>
  <c r="AC82" i="109"/>
  <c r="AE82" i="109"/>
  <c r="AC81" i="109"/>
  <c r="AE81" i="109"/>
  <c r="AC80" i="109"/>
  <c r="AE80" i="109"/>
  <c r="AC79" i="109"/>
  <c r="AE79" i="109"/>
  <c r="AC78" i="109"/>
  <c r="AE78" i="109"/>
  <c r="AC77" i="109"/>
  <c r="AE77" i="109"/>
  <c r="AC76" i="109"/>
  <c r="AE76" i="109"/>
  <c r="AC75" i="109"/>
  <c r="E75" i="109"/>
  <c r="E68" i="109"/>
  <c r="D75" i="109"/>
  <c r="D68" i="109"/>
  <c r="C75" i="109"/>
  <c r="B75" i="109"/>
  <c r="AC74" i="109"/>
  <c r="AE74" i="109"/>
  <c r="AC73" i="109"/>
  <c r="AE73" i="109"/>
  <c r="AC72" i="109"/>
  <c r="AE72" i="109"/>
  <c r="AC71" i="109"/>
  <c r="AE71" i="109"/>
  <c r="AC70" i="109"/>
  <c r="AE70" i="109"/>
  <c r="AC69" i="109"/>
  <c r="AE69" i="109"/>
  <c r="B69" i="109"/>
  <c r="V68" i="109"/>
  <c r="T68" i="109"/>
  <c r="T188" i="109"/>
  <c r="O68" i="109"/>
  <c r="O188" i="109"/>
  <c r="N68" i="109"/>
  <c r="N188" i="109"/>
  <c r="M68" i="109"/>
  <c r="M188" i="109"/>
  <c r="L68" i="109"/>
  <c r="L9" i="109"/>
  <c r="J68" i="109"/>
  <c r="J9" i="109"/>
  <c r="I68" i="109"/>
  <c r="I9" i="109"/>
  <c r="H68" i="109"/>
  <c r="H9" i="109"/>
  <c r="G68" i="109"/>
  <c r="G9" i="109"/>
  <c r="F68" i="109"/>
  <c r="F8" i="109"/>
  <c r="AC67" i="109"/>
  <c r="AE67" i="109"/>
  <c r="AC66" i="109"/>
  <c r="AE66" i="109"/>
  <c r="AC65" i="109"/>
  <c r="AE65" i="109"/>
  <c r="D64" i="109"/>
  <c r="C64" i="109"/>
  <c r="B64" i="109"/>
  <c r="AC64" i="109"/>
  <c r="AE64" i="109"/>
  <c r="AC63" i="109"/>
  <c r="AE63" i="109" s="1"/>
  <c r="AC62" i="109"/>
  <c r="AE62" i="109" s="1"/>
  <c r="AC61" i="109"/>
  <c r="AE61" i="109"/>
  <c r="D60" i="109"/>
  <c r="C60" i="109"/>
  <c r="B60" i="109"/>
  <c r="AC60" i="109"/>
  <c r="AE60" i="109"/>
  <c r="AG59" i="109"/>
  <c r="AG53" i="109"/>
  <c r="AC59" i="109"/>
  <c r="AE59" i="109"/>
  <c r="D59" i="109"/>
  <c r="D53" i="109"/>
  <c r="C59" i="109"/>
  <c r="B59" i="109"/>
  <c r="AC57" i="109"/>
  <c r="AE57" i="109"/>
  <c r="AC56" i="109"/>
  <c r="AE56" i="109"/>
  <c r="C55" i="109"/>
  <c r="C54" i="109"/>
  <c r="B55" i="109"/>
  <c r="AC55" i="109"/>
  <c r="B54" i="109"/>
  <c r="AC52" i="109"/>
  <c r="AE52" i="109"/>
  <c r="AC51" i="109"/>
  <c r="AE51" i="109"/>
  <c r="AC50" i="109"/>
  <c r="AG49" i="109"/>
  <c r="D49" i="109"/>
  <c r="C49" i="109"/>
  <c r="B49" i="109"/>
  <c r="AC47" i="109"/>
  <c r="AE47" i="109"/>
  <c r="AC46" i="109"/>
  <c r="AE46" i="109"/>
  <c r="AC45" i="109"/>
  <c r="AE45" i="109"/>
  <c r="AC44" i="109"/>
  <c r="AE44" i="109"/>
  <c r="AG43" i="109"/>
  <c r="AC43" i="109"/>
  <c r="AE43" i="109"/>
  <c r="D43" i="109"/>
  <c r="C43" i="109"/>
  <c r="B43" i="109"/>
  <c r="AC42" i="109"/>
  <c r="AE42" i="109"/>
  <c r="AC41" i="109"/>
  <c r="AE41" i="109"/>
  <c r="AC40" i="109"/>
  <c r="AE40" i="109"/>
  <c r="D39" i="109"/>
  <c r="C39" i="109"/>
  <c r="B39" i="109"/>
  <c r="AC39" i="109"/>
  <c r="AE39" i="109"/>
  <c r="AC37" i="109"/>
  <c r="AE37" i="109"/>
  <c r="AC35" i="109"/>
  <c r="AE35" i="109"/>
  <c r="AC33" i="109"/>
  <c r="AE33" i="109"/>
  <c r="AC31" i="109"/>
  <c r="AE31" i="109"/>
  <c r="AC29" i="109"/>
  <c r="AE29" i="109"/>
  <c r="AC28" i="109"/>
  <c r="AE28" i="109"/>
  <c r="AC27" i="109"/>
  <c r="AE27" i="109"/>
  <c r="D26" i="109"/>
  <c r="C26" i="109"/>
  <c r="AC25" i="109"/>
  <c r="AE25" i="109"/>
  <c r="AC24" i="109"/>
  <c r="AE24" i="109"/>
  <c r="AC23" i="109"/>
  <c r="AE23" i="109"/>
  <c r="D21" i="109"/>
  <c r="C21" i="109"/>
  <c r="AC21" i="109"/>
  <c r="AE21" i="109"/>
  <c r="AC20" i="109"/>
  <c r="AE20" i="109"/>
  <c r="AC19" i="109"/>
  <c r="AE19" i="109"/>
  <c r="AG18" i="109"/>
  <c r="C18" i="109"/>
  <c r="B18" i="109"/>
  <c r="AC17" i="109"/>
  <c r="AE17" i="109"/>
  <c r="AC16" i="109"/>
  <c r="AE16" i="109"/>
  <c r="D15" i="109"/>
  <c r="C15" i="109"/>
  <c r="B15" i="109"/>
  <c r="AC15" i="109"/>
  <c r="AC14" i="109"/>
  <c r="AE14" i="109"/>
  <c r="AC13" i="109"/>
  <c r="AE13" i="109"/>
  <c r="AG12" i="109"/>
  <c r="D12" i="109"/>
  <c r="C12" i="109"/>
  <c r="B12" i="109"/>
  <c r="AG11" i="109"/>
  <c r="C11" i="109"/>
  <c r="T9" i="109"/>
  <c r="O9" i="109"/>
  <c r="N9" i="109"/>
  <c r="M9" i="109"/>
  <c r="T8" i="109"/>
  <c r="AB7" i="109"/>
  <c r="AA7" i="109"/>
  <c r="T7" i="109"/>
  <c r="O7" i="109"/>
  <c r="N7" i="109"/>
  <c r="L7" i="109"/>
  <c r="J7" i="109"/>
  <c r="I7" i="109"/>
  <c r="H7" i="109"/>
  <c r="G7" i="109"/>
  <c r="F7" i="109"/>
  <c r="AC193" i="108"/>
  <c r="AE193" i="108" s="1"/>
  <c r="AC191" i="108"/>
  <c r="AE191" i="108"/>
  <c r="AG190" i="108"/>
  <c r="AC190" i="108"/>
  <c r="AE190" i="108"/>
  <c r="D190" i="108"/>
  <c r="C190" i="108"/>
  <c r="B190" i="108"/>
  <c r="AE187" i="108"/>
  <c r="AC186" i="108"/>
  <c r="AE186" i="108"/>
  <c r="AC185" i="108"/>
  <c r="AE185" i="108"/>
  <c r="D184" i="108"/>
  <c r="C184" i="108"/>
  <c r="AC183" i="108"/>
  <c r="AE183" i="108"/>
  <c r="AC182" i="108"/>
  <c r="AE182" i="108"/>
  <c r="AG181" i="108"/>
  <c r="D181" i="108"/>
  <c r="C181" i="108"/>
  <c r="B181" i="108"/>
  <c r="B175" i="108"/>
  <c r="AC180" i="108"/>
  <c r="AE180" i="108"/>
  <c r="AC179" i="108"/>
  <c r="AE179" i="108"/>
  <c r="AC178" i="108"/>
  <c r="AE178" i="108"/>
  <c r="AC177" i="108"/>
  <c r="AE177" i="108"/>
  <c r="C176" i="108"/>
  <c r="AG175" i="108"/>
  <c r="AC173" i="108"/>
  <c r="AE173" i="108"/>
  <c r="AC172" i="108"/>
  <c r="AE172" i="108"/>
  <c r="AC171" i="108"/>
  <c r="AE171" i="108"/>
  <c r="AC170" i="108"/>
  <c r="AE170" i="108"/>
  <c r="AG169" i="108"/>
  <c r="D169" i="108"/>
  <c r="D150" i="108"/>
  <c r="C169" i="108"/>
  <c r="C150" i="108"/>
  <c r="AC168" i="108"/>
  <c r="AE168" i="108"/>
  <c r="B166" i="108"/>
  <c r="AC166" i="108"/>
  <c r="AE166" i="108"/>
  <c r="AC165" i="108"/>
  <c r="AE165" i="108"/>
  <c r="B163" i="108"/>
  <c r="AC163" i="108"/>
  <c r="AE163" i="108"/>
  <c r="AC162" i="108"/>
  <c r="AE162" i="108"/>
  <c r="B160" i="108"/>
  <c r="AC160" i="108"/>
  <c r="AE160" i="108"/>
  <c r="AC159" i="108"/>
  <c r="AE159" i="108"/>
  <c r="AC158" i="108"/>
  <c r="AE158" i="108"/>
  <c r="B157" i="108"/>
  <c r="AC157" i="108"/>
  <c r="AE157" i="108"/>
  <c r="AC156" i="108"/>
  <c r="AE156" i="108"/>
  <c r="AC155" i="108"/>
  <c r="AE155" i="108"/>
  <c r="B154" i="108"/>
  <c r="AC154" i="108"/>
  <c r="AE154" i="108"/>
  <c r="AC153" i="108"/>
  <c r="AE153" i="108"/>
  <c r="AC152" i="108"/>
  <c r="AE152" i="108"/>
  <c r="B151" i="108"/>
  <c r="AC151" i="108"/>
  <c r="AE151" i="108"/>
  <c r="AC149" i="108"/>
  <c r="AE149" i="108"/>
  <c r="AC148" i="108"/>
  <c r="AE148" i="108"/>
  <c r="AC147" i="108"/>
  <c r="AE147" i="108"/>
  <c r="AC146" i="108"/>
  <c r="AE146" i="108"/>
  <c r="AC145" i="108"/>
  <c r="AE145" i="108"/>
  <c r="AC144" i="108"/>
  <c r="AE144" i="108"/>
  <c r="AC143" i="108"/>
  <c r="AE143" i="108"/>
  <c r="AC141" i="108"/>
  <c r="AE141" i="108"/>
  <c r="AC140" i="108"/>
  <c r="AE140" i="108"/>
  <c r="AC139" i="108"/>
  <c r="AE139" i="108"/>
  <c r="AC138" i="108"/>
  <c r="AE138" i="108"/>
  <c r="AC137" i="108"/>
  <c r="AE137" i="108"/>
  <c r="AC136" i="108"/>
  <c r="AE136" i="108"/>
  <c r="AC135" i="108"/>
  <c r="AE135" i="108"/>
  <c r="AC134" i="108"/>
  <c r="AE134" i="108"/>
  <c r="AC133" i="108"/>
  <c r="AE133" i="108"/>
  <c r="D132" i="108"/>
  <c r="C132" i="108"/>
  <c r="AC130" i="108"/>
  <c r="AE130" i="108"/>
  <c r="AC129" i="108"/>
  <c r="AE129" i="108"/>
  <c r="AC128" i="108"/>
  <c r="AE128" i="108"/>
  <c r="AC126" i="108"/>
  <c r="AE126" i="108"/>
  <c r="AC125" i="108"/>
  <c r="AE125" i="108"/>
  <c r="AC124" i="108"/>
  <c r="AE124" i="108"/>
  <c r="AC123" i="108"/>
  <c r="AE123" i="108"/>
  <c r="D122" i="108"/>
  <c r="C122" i="108"/>
  <c r="AG121" i="108"/>
  <c r="C121" i="108"/>
  <c r="B121" i="108"/>
  <c r="AC118" i="108"/>
  <c r="AC117" i="108"/>
  <c r="AE117" i="108"/>
  <c r="B117" i="108"/>
  <c r="AC113" i="108"/>
  <c r="AE113" i="108"/>
  <c r="AC112" i="108"/>
  <c r="AE112" i="108"/>
  <c r="AB112" i="108"/>
  <c r="AC110" i="108"/>
  <c r="AE110" i="108"/>
  <c r="AC109" i="108"/>
  <c r="AE109" i="108"/>
  <c r="AC108" i="108"/>
  <c r="AE108" i="108"/>
  <c r="AC107" i="108"/>
  <c r="AE107" i="108"/>
  <c r="AC106" i="108"/>
  <c r="AE106" i="108"/>
  <c r="AC105" i="108"/>
  <c r="AE105" i="108"/>
  <c r="S105" i="108"/>
  <c r="S68" i="108"/>
  <c r="R105" i="108"/>
  <c r="R68" i="108"/>
  <c r="Q105" i="108"/>
  <c r="Q68" i="108"/>
  <c r="P105" i="108"/>
  <c r="P68" i="108"/>
  <c r="O105" i="108"/>
  <c r="N105" i="108"/>
  <c r="M105" i="108"/>
  <c r="L105" i="108"/>
  <c r="K105" i="108"/>
  <c r="J105" i="108"/>
  <c r="I105" i="108"/>
  <c r="H105" i="108"/>
  <c r="G105" i="108"/>
  <c r="F105" i="108"/>
  <c r="AC102" i="108"/>
  <c r="AE102" i="108"/>
  <c r="AC101" i="108"/>
  <c r="AE101" i="108"/>
  <c r="AC100" i="108"/>
  <c r="AE100" i="108"/>
  <c r="AB99" i="108"/>
  <c r="AA99" i="108"/>
  <c r="Z99" i="108"/>
  <c r="Y99" i="108"/>
  <c r="X99" i="108"/>
  <c r="W99" i="108"/>
  <c r="W68" i="108"/>
  <c r="V99" i="108"/>
  <c r="U99" i="108"/>
  <c r="T99" i="108"/>
  <c r="T68" i="108"/>
  <c r="E99" i="108"/>
  <c r="D99" i="108"/>
  <c r="AC96" i="108"/>
  <c r="AE96" i="108"/>
  <c r="AC95" i="108"/>
  <c r="AE95" i="108"/>
  <c r="AC94" i="108"/>
  <c r="AE94" i="108"/>
  <c r="B94" i="108"/>
  <c r="AC91" i="108"/>
  <c r="AE91" i="108"/>
  <c r="AC89" i="108"/>
  <c r="AE89" i="108"/>
  <c r="AC88" i="108"/>
  <c r="AE88" i="108"/>
  <c r="AC87" i="108"/>
  <c r="AE87" i="108"/>
  <c r="C86" i="108"/>
  <c r="B86" i="108"/>
  <c r="AC85" i="108"/>
  <c r="AE85" i="108"/>
  <c r="AC84" i="108"/>
  <c r="AE84" i="108"/>
  <c r="AC83" i="108"/>
  <c r="AE83" i="108"/>
  <c r="AC82" i="108"/>
  <c r="AE82" i="108"/>
  <c r="AC81" i="108"/>
  <c r="AE81" i="108"/>
  <c r="AC80" i="108"/>
  <c r="AE80" i="108"/>
  <c r="AC79" i="108"/>
  <c r="AE79" i="108"/>
  <c r="AC78" i="108"/>
  <c r="AC77" i="108"/>
  <c r="AE77" i="108"/>
  <c r="AC76" i="108"/>
  <c r="AE76" i="108"/>
  <c r="E75" i="108"/>
  <c r="E68" i="108"/>
  <c r="D75" i="108"/>
  <c r="C75" i="108"/>
  <c r="B75" i="108"/>
  <c r="AC74" i="108"/>
  <c r="AE74" i="108"/>
  <c r="AC73" i="108"/>
  <c r="AE73" i="108"/>
  <c r="AC72" i="108"/>
  <c r="AE72" i="108"/>
  <c r="AC71" i="108"/>
  <c r="AE71" i="108"/>
  <c r="AC70" i="108"/>
  <c r="AE70" i="108"/>
  <c r="AC69" i="108"/>
  <c r="AE69" i="108"/>
  <c r="B69" i="108"/>
  <c r="AB68" i="108"/>
  <c r="AB9" i="108"/>
  <c r="AA68" i="108"/>
  <c r="AA9" i="108"/>
  <c r="Z68" i="108"/>
  <c r="Z7" i="108"/>
  <c r="Y68" i="108"/>
  <c r="Y7" i="108"/>
  <c r="X68" i="108"/>
  <c r="X7" i="108"/>
  <c r="V68" i="108"/>
  <c r="U68" i="108"/>
  <c r="U188" i="108"/>
  <c r="O68" i="108"/>
  <c r="O188" i="108"/>
  <c r="N68" i="108"/>
  <c r="N188" i="108"/>
  <c r="M68" i="108"/>
  <c r="M188" i="108"/>
  <c r="L68" i="108"/>
  <c r="L9" i="108"/>
  <c r="K68" i="108"/>
  <c r="K188" i="108"/>
  <c r="J68" i="108"/>
  <c r="I68" i="108"/>
  <c r="H68" i="108"/>
  <c r="G68" i="108"/>
  <c r="F68" i="108"/>
  <c r="D68" i="108"/>
  <c r="AC67" i="108"/>
  <c r="AE67" i="108"/>
  <c r="AC66" i="108"/>
  <c r="AE66" i="108"/>
  <c r="AC65" i="108"/>
  <c r="AE65" i="108" s="1"/>
  <c r="D64" i="108"/>
  <c r="C64" i="108"/>
  <c r="B64" i="108"/>
  <c r="AC64" i="108"/>
  <c r="AE64" i="108"/>
  <c r="AC63" i="108"/>
  <c r="AE63" i="108"/>
  <c r="AC62" i="108"/>
  <c r="AE62" i="108"/>
  <c r="AC61" i="108"/>
  <c r="AE61" i="108"/>
  <c r="D60" i="108"/>
  <c r="D59" i="108"/>
  <c r="D53" i="108"/>
  <c r="C60" i="108"/>
  <c r="C59" i="108"/>
  <c r="B60" i="108"/>
  <c r="AC60" i="108"/>
  <c r="AG59" i="108"/>
  <c r="AG53" i="108"/>
  <c r="AC57" i="108"/>
  <c r="AE57" i="108"/>
  <c r="AC56" i="108"/>
  <c r="AE56" i="108"/>
  <c r="C55" i="108"/>
  <c r="B55" i="108"/>
  <c r="AC55" i="108"/>
  <c r="C54" i="108"/>
  <c r="B54" i="108"/>
  <c r="AC52" i="108"/>
  <c r="AE52" i="108"/>
  <c r="AC51" i="108"/>
  <c r="AE51" i="108"/>
  <c r="AC50" i="108"/>
  <c r="AC49" i="108"/>
  <c r="AE49" i="108"/>
  <c r="AG49" i="108"/>
  <c r="D49" i="108"/>
  <c r="C49" i="108"/>
  <c r="B49" i="108"/>
  <c r="AC47" i="108"/>
  <c r="AE47" i="108"/>
  <c r="AC46" i="108"/>
  <c r="AE46" i="108"/>
  <c r="AC45" i="108"/>
  <c r="AE45" i="108"/>
  <c r="AC44" i="108"/>
  <c r="AE44" i="108"/>
  <c r="AG43" i="108"/>
  <c r="AC43" i="108"/>
  <c r="AE43" i="108"/>
  <c r="D43" i="108"/>
  <c r="C43" i="108"/>
  <c r="B43" i="108"/>
  <c r="AC42" i="108"/>
  <c r="AE42" i="108"/>
  <c r="AC41" i="108"/>
  <c r="AE41" i="108"/>
  <c r="AC40" i="108"/>
  <c r="AE40" i="108"/>
  <c r="D39" i="108"/>
  <c r="C39" i="108"/>
  <c r="B39" i="108"/>
  <c r="AC39" i="108"/>
  <c r="AE39" i="108"/>
  <c r="AC37" i="108"/>
  <c r="AE37" i="108"/>
  <c r="AC35" i="108"/>
  <c r="AE35" i="108"/>
  <c r="AC33" i="108"/>
  <c r="AE33" i="108"/>
  <c r="AC31" i="108"/>
  <c r="AE31" i="108"/>
  <c r="AC29" i="108"/>
  <c r="AE29" i="108"/>
  <c r="AC28" i="108"/>
  <c r="AE28" i="108"/>
  <c r="AC27" i="108"/>
  <c r="AE27" i="108"/>
  <c r="D26" i="108"/>
  <c r="C26" i="108"/>
  <c r="B26" i="108"/>
  <c r="AC25" i="108"/>
  <c r="AE25" i="108"/>
  <c r="AC24" i="108"/>
  <c r="AE24" i="108"/>
  <c r="AC23" i="108"/>
  <c r="AE23" i="108"/>
  <c r="D21" i="108"/>
  <c r="C21" i="108"/>
  <c r="B21" i="108"/>
  <c r="AC21" i="108"/>
  <c r="AE21" i="108"/>
  <c r="AC20" i="108"/>
  <c r="AE20" i="108"/>
  <c r="AC19" i="108"/>
  <c r="AE19" i="108"/>
  <c r="AG18" i="108"/>
  <c r="D18" i="108"/>
  <c r="C18" i="108"/>
  <c r="B18" i="108"/>
  <c r="AC17" i="108"/>
  <c r="AE17" i="108"/>
  <c r="AC16" i="108"/>
  <c r="AE16" i="108"/>
  <c r="D15" i="108"/>
  <c r="C15" i="108"/>
  <c r="B15" i="108"/>
  <c r="AC15" i="108"/>
  <c r="AE15" i="108"/>
  <c r="AC14" i="108"/>
  <c r="AE14" i="108"/>
  <c r="AC13" i="108"/>
  <c r="AE13" i="108"/>
  <c r="AG12" i="108"/>
  <c r="D12" i="108"/>
  <c r="D11" i="108"/>
  <c r="C12" i="108"/>
  <c r="C11" i="108"/>
  <c r="B12" i="108"/>
  <c r="B11" i="108"/>
  <c r="V9" i="108"/>
  <c r="U9" i="108"/>
  <c r="O9" i="108"/>
  <c r="N9" i="108"/>
  <c r="M9" i="108"/>
  <c r="V8" i="108"/>
  <c r="U8" i="108"/>
  <c r="T8" i="108"/>
  <c r="S8" i="108"/>
  <c r="R8" i="108"/>
  <c r="G8" i="108"/>
  <c r="F8" i="108"/>
  <c r="U7" i="108"/>
  <c r="O7" i="108"/>
  <c r="N7" i="108"/>
  <c r="M7" i="108"/>
  <c r="L7" i="108"/>
  <c r="K7" i="108"/>
  <c r="J7" i="108"/>
  <c r="I7" i="108"/>
  <c r="H7" i="108"/>
  <c r="G7" i="108"/>
  <c r="F7" i="108"/>
  <c r="AC193" i="107"/>
  <c r="AE193" i="107"/>
  <c r="AC191" i="107"/>
  <c r="AE191" i="107"/>
  <c r="AG190" i="107"/>
  <c r="AC190" i="107"/>
  <c r="AE190" i="107"/>
  <c r="D190" i="107"/>
  <c r="C190" i="107"/>
  <c r="B190" i="107"/>
  <c r="AE187" i="107"/>
  <c r="AC186" i="107"/>
  <c r="AE186" i="107"/>
  <c r="AC185" i="107"/>
  <c r="AE185" i="107"/>
  <c r="D184" i="107"/>
  <c r="C184" i="107"/>
  <c r="AC183" i="107"/>
  <c r="AE183" i="107"/>
  <c r="AC182" i="107"/>
  <c r="AE182" i="107"/>
  <c r="AG181" i="107"/>
  <c r="D181" i="107"/>
  <c r="C181" i="107"/>
  <c r="B181" i="107"/>
  <c r="B175" i="107"/>
  <c r="AC180" i="107"/>
  <c r="AE180" i="107"/>
  <c r="AC179" i="107"/>
  <c r="AE179" i="107"/>
  <c r="AC178" i="107"/>
  <c r="AE178" i="107"/>
  <c r="AC177" i="107"/>
  <c r="AE177" i="107"/>
  <c r="C176" i="107"/>
  <c r="C175" i="107"/>
  <c r="AG175" i="107"/>
  <c r="AC173" i="107"/>
  <c r="AE173" i="107"/>
  <c r="AC172" i="107"/>
  <c r="AE172" i="107"/>
  <c r="AC171" i="107"/>
  <c r="AE171" i="107"/>
  <c r="AC170" i="107"/>
  <c r="AE170" i="107"/>
  <c r="AG169" i="107"/>
  <c r="D169" i="107"/>
  <c r="D150" i="107"/>
  <c r="C169" i="107"/>
  <c r="AC169" i="107"/>
  <c r="AE169" i="107"/>
  <c r="AC168" i="107"/>
  <c r="AE168" i="107"/>
  <c r="B166" i="107"/>
  <c r="AC166" i="107"/>
  <c r="AE166" i="107"/>
  <c r="AC165" i="107"/>
  <c r="AE165" i="107"/>
  <c r="B163" i="107"/>
  <c r="AC163" i="107"/>
  <c r="AE163" i="107"/>
  <c r="AC162" i="107"/>
  <c r="AE162" i="107"/>
  <c r="B160" i="107"/>
  <c r="AC160" i="107"/>
  <c r="AE160" i="107"/>
  <c r="AC159" i="107"/>
  <c r="AE159" i="107"/>
  <c r="AC158" i="107"/>
  <c r="AE158" i="107"/>
  <c r="B157" i="107"/>
  <c r="AC157" i="107"/>
  <c r="AE157" i="107"/>
  <c r="AC156" i="107"/>
  <c r="AE156" i="107"/>
  <c r="AC155" i="107"/>
  <c r="AE155" i="107"/>
  <c r="B154" i="107"/>
  <c r="AC153" i="107"/>
  <c r="AE153" i="107"/>
  <c r="AC152" i="107"/>
  <c r="AE152" i="107"/>
  <c r="B151" i="107"/>
  <c r="AC151" i="107"/>
  <c r="AE151" i="107"/>
  <c r="AC149" i="107"/>
  <c r="AE149" i="107"/>
  <c r="AC148" i="107"/>
  <c r="AE148" i="107"/>
  <c r="AC147" i="107"/>
  <c r="AE147" i="107"/>
  <c r="AC146" i="107"/>
  <c r="AE146" i="107"/>
  <c r="AC145" i="107"/>
  <c r="AE145" i="107"/>
  <c r="AC144" i="107"/>
  <c r="AE144" i="107"/>
  <c r="AC143" i="107"/>
  <c r="AE143" i="107"/>
  <c r="AC141" i="107"/>
  <c r="AE141" i="107"/>
  <c r="AC140" i="107"/>
  <c r="AE140" i="107"/>
  <c r="AC139" i="107"/>
  <c r="AE139" i="107"/>
  <c r="AC138" i="107"/>
  <c r="AE138" i="107"/>
  <c r="AC137" i="107"/>
  <c r="AE137" i="107"/>
  <c r="AC136" i="107"/>
  <c r="AE136" i="107"/>
  <c r="AC135" i="107"/>
  <c r="AE135" i="107"/>
  <c r="AC134" i="107"/>
  <c r="AE134" i="107"/>
  <c r="AC133" i="107"/>
  <c r="AE133" i="107"/>
  <c r="D132" i="107"/>
  <c r="D121" i="107"/>
  <c r="C132" i="107"/>
  <c r="AC130" i="107"/>
  <c r="AE130" i="107"/>
  <c r="AC129" i="107"/>
  <c r="AE129" i="107"/>
  <c r="AC128" i="107"/>
  <c r="AE128" i="107"/>
  <c r="AC126" i="107"/>
  <c r="AE126" i="107"/>
  <c r="AC125" i="107"/>
  <c r="AE125" i="107"/>
  <c r="AC124" i="107"/>
  <c r="AE124" i="107"/>
  <c r="AC123" i="107"/>
  <c r="AE123" i="107"/>
  <c r="D122" i="107"/>
  <c r="C122" i="107"/>
  <c r="AC122" i="107"/>
  <c r="AE122" i="107"/>
  <c r="AG121" i="107"/>
  <c r="B121" i="107"/>
  <c r="AC118" i="107"/>
  <c r="AC117" i="107"/>
  <c r="AE117" i="107"/>
  <c r="B117" i="107"/>
  <c r="AC113" i="107"/>
  <c r="AE113" i="107"/>
  <c r="AC112" i="107"/>
  <c r="AE112" i="107"/>
  <c r="AB112" i="107"/>
  <c r="AC110" i="107"/>
  <c r="AE110" i="107"/>
  <c r="AC109" i="107"/>
  <c r="AE109" i="107"/>
  <c r="AC108" i="107"/>
  <c r="AE108" i="107"/>
  <c r="AC107" i="107"/>
  <c r="AE107" i="107"/>
  <c r="AC106" i="107"/>
  <c r="AE106" i="107"/>
  <c r="AC105" i="107"/>
  <c r="AE105" i="107"/>
  <c r="S105" i="107"/>
  <c r="S68" i="107"/>
  <c r="S7" i="107"/>
  <c r="R105" i="107"/>
  <c r="R68" i="107"/>
  <c r="Q105" i="107"/>
  <c r="Q68" i="107"/>
  <c r="P105" i="107"/>
  <c r="P68" i="107"/>
  <c r="O105" i="107"/>
  <c r="N105" i="107"/>
  <c r="M105" i="107"/>
  <c r="L105" i="107"/>
  <c r="K105" i="107"/>
  <c r="J105" i="107"/>
  <c r="I105" i="107"/>
  <c r="H105" i="107"/>
  <c r="G105" i="107"/>
  <c r="F105" i="107"/>
  <c r="AC102" i="107"/>
  <c r="AE102" i="107"/>
  <c r="AC101" i="107"/>
  <c r="AE101" i="107"/>
  <c r="AC100" i="107"/>
  <c r="AE100" i="107"/>
  <c r="AC99" i="107"/>
  <c r="AE99" i="107"/>
  <c r="AB99" i="107"/>
  <c r="AA99" i="107"/>
  <c r="Z99" i="107"/>
  <c r="Y99" i="107"/>
  <c r="Y68" i="107"/>
  <c r="X99" i="107"/>
  <c r="W99" i="107"/>
  <c r="V99" i="107"/>
  <c r="U99" i="107"/>
  <c r="T99" i="107"/>
  <c r="E99" i="107"/>
  <c r="D99" i="107"/>
  <c r="AC96" i="107"/>
  <c r="AE96" i="107"/>
  <c r="AC95" i="107"/>
  <c r="AE95" i="107"/>
  <c r="AC94" i="107"/>
  <c r="AE94" i="107"/>
  <c r="B94" i="107"/>
  <c r="AC91" i="107"/>
  <c r="AE91" i="107"/>
  <c r="AC89" i="107"/>
  <c r="AE89" i="107"/>
  <c r="AC88" i="107"/>
  <c r="AE88" i="107"/>
  <c r="AC87" i="107"/>
  <c r="AE87" i="107"/>
  <c r="AC86" i="107"/>
  <c r="AE86" i="107"/>
  <c r="C86" i="107"/>
  <c r="B86" i="107"/>
  <c r="AC85" i="107"/>
  <c r="AE85" i="107"/>
  <c r="AC84" i="107"/>
  <c r="AE84" i="107"/>
  <c r="AC83" i="107"/>
  <c r="AE83" i="107"/>
  <c r="AC82" i="107"/>
  <c r="AE82" i="107"/>
  <c r="AC81" i="107"/>
  <c r="AE81" i="107"/>
  <c r="AC80" i="107"/>
  <c r="AE80" i="107"/>
  <c r="AC79" i="107"/>
  <c r="AE79" i="107"/>
  <c r="AC78" i="107"/>
  <c r="AE78" i="107"/>
  <c r="AC77" i="107"/>
  <c r="AE77" i="107"/>
  <c r="AC76" i="107"/>
  <c r="AE76" i="107"/>
  <c r="AC75" i="107"/>
  <c r="AE75" i="107"/>
  <c r="E75" i="107"/>
  <c r="E68" i="107"/>
  <c r="D75" i="107"/>
  <c r="C75" i="107"/>
  <c r="B75" i="107"/>
  <c r="AC74" i="107"/>
  <c r="AE74" i="107"/>
  <c r="AC73" i="107"/>
  <c r="AE73" i="107"/>
  <c r="AC72" i="107"/>
  <c r="AE72" i="107"/>
  <c r="AC71" i="107"/>
  <c r="AE71" i="107"/>
  <c r="AC70" i="107"/>
  <c r="AE70" i="107"/>
  <c r="AC69" i="107"/>
  <c r="AE69" i="107"/>
  <c r="B69" i="107"/>
  <c r="AB68" i="107"/>
  <c r="AA68" i="107"/>
  <c r="Z68" i="107"/>
  <c r="X68" i="107"/>
  <c r="X8" i="107"/>
  <c r="W68" i="107"/>
  <c r="W8" i="107"/>
  <c r="V68" i="107"/>
  <c r="U68" i="107"/>
  <c r="U188" i="107"/>
  <c r="T68" i="107"/>
  <c r="T188" i="107"/>
  <c r="O68" i="107"/>
  <c r="O188" i="107"/>
  <c r="N68" i="107"/>
  <c r="N188" i="107"/>
  <c r="M68" i="107"/>
  <c r="M188" i="107"/>
  <c r="L68" i="107"/>
  <c r="L9" i="107"/>
  <c r="K68" i="107"/>
  <c r="K9" i="107"/>
  <c r="J68" i="107"/>
  <c r="J188" i="107"/>
  <c r="I68" i="107"/>
  <c r="I9" i="107"/>
  <c r="H68" i="107"/>
  <c r="H8" i="107"/>
  <c r="G68" i="107"/>
  <c r="G9" i="107"/>
  <c r="F68" i="107"/>
  <c r="F9" i="107"/>
  <c r="D68" i="107"/>
  <c r="AC67" i="107"/>
  <c r="AE67" i="107"/>
  <c r="AC66" i="107"/>
  <c r="AE66" i="107"/>
  <c r="AC65" i="107"/>
  <c r="AE65" i="107"/>
  <c r="D64" i="107"/>
  <c r="C64" i="107"/>
  <c r="B64" i="107"/>
  <c r="AC64" i="107"/>
  <c r="AE64" i="107"/>
  <c r="AC63" i="107"/>
  <c r="AE63" i="107"/>
  <c r="AC62" i="107"/>
  <c r="AE62" i="107"/>
  <c r="AC61" i="107"/>
  <c r="AE61" i="107"/>
  <c r="D60" i="107"/>
  <c r="C60" i="107"/>
  <c r="B60" i="107"/>
  <c r="AC60" i="107"/>
  <c r="AE60" i="107"/>
  <c r="AG59" i="107"/>
  <c r="AG53" i="107"/>
  <c r="D59" i="107"/>
  <c r="D53" i="107"/>
  <c r="C59" i="107"/>
  <c r="B59" i="107"/>
  <c r="AC57" i="107"/>
  <c r="AE57" i="107"/>
  <c r="AC56" i="107"/>
  <c r="AE56" i="107"/>
  <c r="C55" i="107"/>
  <c r="B55" i="107"/>
  <c r="AC55" i="107"/>
  <c r="C54" i="107"/>
  <c r="B54" i="107"/>
  <c r="B53" i="107"/>
  <c r="AC52" i="107"/>
  <c r="AE52" i="107"/>
  <c r="AC51" i="107"/>
  <c r="AE51" i="107"/>
  <c r="AC50" i="107"/>
  <c r="AC49" i="107"/>
  <c r="AE49" i="107"/>
  <c r="AG49" i="107"/>
  <c r="D49" i="107"/>
  <c r="C49" i="107"/>
  <c r="B49" i="107"/>
  <c r="AC47" i="107"/>
  <c r="AE47" i="107"/>
  <c r="AC46" i="107"/>
  <c r="AE46" i="107"/>
  <c r="AC45" i="107"/>
  <c r="AE45" i="107"/>
  <c r="AC44" i="107"/>
  <c r="AE44" i="107"/>
  <c r="AG43" i="107"/>
  <c r="AC43" i="107"/>
  <c r="AE43" i="107"/>
  <c r="D43" i="107"/>
  <c r="C43" i="107"/>
  <c r="B43" i="107"/>
  <c r="AC42" i="107"/>
  <c r="AE42" i="107"/>
  <c r="AC41" i="107"/>
  <c r="AE41" i="107"/>
  <c r="AC40" i="107"/>
  <c r="AE40" i="107"/>
  <c r="D39" i="107"/>
  <c r="C39" i="107"/>
  <c r="B39" i="107"/>
  <c r="AC39" i="107"/>
  <c r="AE39" i="107"/>
  <c r="AC37" i="107"/>
  <c r="AE37" i="107"/>
  <c r="AC35" i="107"/>
  <c r="AE35" i="107"/>
  <c r="AC33" i="107"/>
  <c r="AE33" i="107"/>
  <c r="AC31" i="107"/>
  <c r="AE31" i="107"/>
  <c r="AC29" i="107"/>
  <c r="AE29" i="107"/>
  <c r="AC28" i="107"/>
  <c r="AE28" i="107"/>
  <c r="AC27" i="107"/>
  <c r="AE27" i="107"/>
  <c r="D26" i="107"/>
  <c r="C26" i="107"/>
  <c r="B26" i="107"/>
  <c r="AC25" i="107"/>
  <c r="AE25" i="107"/>
  <c r="AC24" i="107"/>
  <c r="AE24" i="107"/>
  <c r="AC23" i="107"/>
  <c r="AE23" i="107"/>
  <c r="D21" i="107"/>
  <c r="C21" i="107"/>
  <c r="B21" i="107"/>
  <c r="AC21" i="107"/>
  <c r="AE21" i="107"/>
  <c r="AC20" i="107"/>
  <c r="AE20" i="107"/>
  <c r="AC19" i="107"/>
  <c r="AE19" i="107"/>
  <c r="AG18" i="107"/>
  <c r="D18" i="107"/>
  <c r="C18" i="107"/>
  <c r="B18" i="107"/>
  <c r="AC17" i="107"/>
  <c r="AE17" i="107"/>
  <c r="AC16" i="107"/>
  <c r="AE16" i="107"/>
  <c r="D15" i="107"/>
  <c r="C15" i="107"/>
  <c r="B15" i="107"/>
  <c r="AC15" i="107"/>
  <c r="AC14" i="107"/>
  <c r="AE14" i="107"/>
  <c r="AC13" i="107"/>
  <c r="AE13" i="107"/>
  <c r="AG12" i="107"/>
  <c r="D12" i="107"/>
  <c r="C12" i="107"/>
  <c r="B12" i="107"/>
  <c r="B11" i="107"/>
  <c r="B10" i="107"/>
  <c r="B7" i="107" s="1"/>
  <c r="U9" i="107"/>
  <c r="T9" i="107"/>
  <c r="R9" i="107"/>
  <c r="P9" i="107"/>
  <c r="O9" i="107"/>
  <c r="N9" i="107"/>
  <c r="M9" i="107"/>
  <c r="U8" i="107"/>
  <c r="T8" i="107"/>
  <c r="R8" i="107"/>
  <c r="U7" i="107"/>
  <c r="T7" i="107"/>
  <c r="O7" i="107"/>
  <c r="N7" i="107"/>
  <c r="M7" i="107"/>
  <c r="L7" i="107"/>
  <c r="K7" i="107"/>
  <c r="J7" i="107"/>
  <c r="I7" i="107"/>
  <c r="H7" i="107"/>
  <c r="G7" i="107"/>
  <c r="F7" i="107"/>
  <c r="E7" i="107"/>
  <c r="AC193" i="106"/>
  <c r="AE193" i="106"/>
  <c r="AC191" i="106"/>
  <c r="AE191" i="106"/>
  <c r="AG190" i="106"/>
  <c r="AC190" i="106"/>
  <c r="AE190" i="106"/>
  <c r="D190" i="106"/>
  <c r="C190" i="106"/>
  <c r="B190" i="106"/>
  <c r="AE187" i="106"/>
  <c r="AC186" i="106"/>
  <c r="AE186" i="106"/>
  <c r="AC185" i="106"/>
  <c r="AE185" i="106"/>
  <c r="D184" i="106"/>
  <c r="C184" i="106"/>
  <c r="AC183" i="106"/>
  <c r="AE183" i="106"/>
  <c r="AC182" i="106"/>
  <c r="AE182" i="106"/>
  <c r="AG181" i="106"/>
  <c r="D181" i="106"/>
  <c r="D175" i="106"/>
  <c r="C181" i="106"/>
  <c r="B181" i="106"/>
  <c r="B175" i="106"/>
  <c r="AC180" i="106"/>
  <c r="AE180" i="106"/>
  <c r="AC179" i="106"/>
  <c r="AE179" i="106"/>
  <c r="AC178" i="106"/>
  <c r="AE178" i="106"/>
  <c r="AC177" i="106"/>
  <c r="AE177" i="106"/>
  <c r="C176" i="106"/>
  <c r="C175" i="106"/>
  <c r="AG175" i="106"/>
  <c r="AC173" i="106"/>
  <c r="AE173" i="106"/>
  <c r="AC172" i="106"/>
  <c r="AE172" i="106"/>
  <c r="AC171" i="106"/>
  <c r="AE171" i="106"/>
  <c r="AC170" i="106"/>
  <c r="AE170" i="106"/>
  <c r="AG169" i="106"/>
  <c r="D169" i="106"/>
  <c r="D150" i="106"/>
  <c r="C169" i="106"/>
  <c r="AC168" i="106"/>
  <c r="AE168" i="106"/>
  <c r="B166" i="106"/>
  <c r="AC166" i="106"/>
  <c r="AE166" i="106"/>
  <c r="AC165" i="106"/>
  <c r="AE165" i="106"/>
  <c r="B163" i="106"/>
  <c r="AC163" i="106"/>
  <c r="AE163" i="106"/>
  <c r="AC162" i="106"/>
  <c r="AE162" i="106"/>
  <c r="B160" i="106"/>
  <c r="AC160" i="106"/>
  <c r="AE160" i="106"/>
  <c r="AC159" i="106"/>
  <c r="AE159" i="106"/>
  <c r="AC158" i="106"/>
  <c r="AE158" i="106"/>
  <c r="B157" i="106"/>
  <c r="AC157" i="106"/>
  <c r="AE157" i="106"/>
  <c r="AC156" i="106"/>
  <c r="AE156" i="106"/>
  <c r="AC155" i="106"/>
  <c r="AE155" i="106"/>
  <c r="B154" i="106"/>
  <c r="AC153" i="106"/>
  <c r="AE153" i="106"/>
  <c r="AC152" i="106"/>
  <c r="AE152" i="106"/>
  <c r="B151" i="106"/>
  <c r="AC151" i="106"/>
  <c r="AE151" i="106"/>
  <c r="AC149" i="106"/>
  <c r="AE149" i="106"/>
  <c r="AC148" i="106"/>
  <c r="AE148" i="106"/>
  <c r="AC147" i="106"/>
  <c r="AE147" i="106"/>
  <c r="AC146" i="106"/>
  <c r="AE146" i="106"/>
  <c r="AC145" i="106"/>
  <c r="AE145" i="106"/>
  <c r="AC144" i="106"/>
  <c r="AE144" i="106"/>
  <c r="AC143" i="106"/>
  <c r="AE143" i="106"/>
  <c r="AC141" i="106"/>
  <c r="AE141" i="106"/>
  <c r="AC140" i="106"/>
  <c r="AE140" i="106"/>
  <c r="AC139" i="106"/>
  <c r="AE139" i="106"/>
  <c r="AC138" i="106"/>
  <c r="AE138" i="106"/>
  <c r="AC137" i="106"/>
  <c r="AE137" i="106"/>
  <c r="AC136" i="106"/>
  <c r="AE136" i="106"/>
  <c r="AC135" i="106"/>
  <c r="AE135" i="106"/>
  <c r="AC134" i="106"/>
  <c r="AE134" i="106"/>
  <c r="AC133" i="106"/>
  <c r="AE133" i="106"/>
  <c r="D132" i="106"/>
  <c r="C132" i="106"/>
  <c r="AC132" i="106"/>
  <c r="AE132" i="106"/>
  <c r="AC130" i="106"/>
  <c r="AE130" i="106"/>
  <c r="AC129" i="106"/>
  <c r="AE129" i="106"/>
  <c r="AC128" i="106"/>
  <c r="AE128" i="106"/>
  <c r="AC126" i="106"/>
  <c r="AE126" i="106"/>
  <c r="AC125" i="106"/>
  <c r="AE125" i="106"/>
  <c r="AC124" i="106"/>
  <c r="AE124" i="106"/>
  <c r="AC123" i="106"/>
  <c r="AE123" i="106"/>
  <c r="D122" i="106"/>
  <c r="D121" i="106"/>
  <c r="C122" i="106"/>
  <c r="AG121" i="106"/>
  <c r="B121" i="106"/>
  <c r="AC118" i="106"/>
  <c r="B117" i="106"/>
  <c r="AC113" i="106"/>
  <c r="AE113" i="106"/>
  <c r="AC112" i="106"/>
  <c r="AE112" i="106"/>
  <c r="AB112" i="106"/>
  <c r="AC110" i="106"/>
  <c r="AE110" i="106"/>
  <c r="AC109" i="106"/>
  <c r="AE109" i="106"/>
  <c r="AC108" i="106"/>
  <c r="AE108" i="106"/>
  <c r="AC107" i="106"/>
  <c r="AE107" i="106"/>
  <c r="AC106" i="106"/>
  <c r="AE106" i="106"/>
  <c r="AC105" i="106"/>
  <c r="AE105" i="106"/>
  <c r="S105" i="106"/>
  <c r="S68" i="106"/>
  <c r="S7" i="106"/>
  <c r="R105" i="106"/>
  <c r="R68" i="106"/>
  <c r="Q105" i="106"/>
  <c r="Q68" i="106"/>
  <c r="P105" i="106"/>
  <c r="P68" i="106"/>
  <c r="O105" i="106"/>
  <c r="N105" i="106"/>
  <c r="M105" i="106"/>
  <c r="L105" i="106"/>
  <c r="K105" i="106"/>
  <c r="J105" i="106"/>
  <c r="I105" i="106"/>
  <c r="H105" i="106"/>
  <c r="G105" i="106"/>
  <c r="F105" i="106"/>
  <c r="AC102" i="106"/>
  <c r="AE102" i="106"/>
  <c r="AC101" i="106"/>
  <c r="AE101" i="106"/>
  <c r="AC100" i="106"/>
  <c r="AE100" i="106"/>
  <c r="AC99" i="106"/>
  <c r="AE99" i="106"/>
  <c r="AB99" i="106"/>
  <c r="AA99" i="106"/>
  <c r="Z99" i="106"/>
  <c r="Z68" i="106"/>
  <c r="Y99" i="106"/>
  <c r="Y68" i="106"/>
  <c r="X99" i="106"/>
  <c r="X68" i="106"/>
  <c r="W99" i="106"/>
  <c r="W68" i="106"/>
  <c r="V99" i="106"/>
  <c r="U99" i="106"/>
  <c r="U68" i="106"/>
  <c r="T99" i="106"/>
  <c r="T68" i="106"/>
  <c r="E99" i="106"/>
  <c r="D99" i="106"/>
  <c r="AC96" i="106"/>
  <c r="AE96" i="106"/>
  <c r="AC95" i="106"/>
  <c r="AE95" i="106"/>
  <c r="AC94" i="106"/>
  <c r="AE94" i="106"/>
  <c r="B94" i="106"/>
  <c r="AC91" i="106"/>
  <c r="AE91" i="106"/>
  <c r="AC89" i="106"/>
  <c r="AE89" i="106"/>
  <c r="AC88" i="106"/>
  <c r="AE88" i="106"/>
  <c r="AC87" i="106"/>
  <c r="AE87" i="106"/>
  <c r="AC86" i="106"/>
  <c r="AE86" i="106"/>
  <c r="C86" i="106"/>
  <c r="B86" i="106"/>
  <c r="AC85" i="106"/>
  <c r="AE85" i="106"/>
  <c r="AC84" i="106"/>
  <c r="AE84" i="106"/>
  <c r="AC83" i="106"/>
  <c r="AE83" i="106"/>
  <c r="AC82" i="106"/>
  <c r="AE82" i="106"/>
  <c r="AC81" i="106"/>
  <c r="AE81" i="106"/>
  <c r="AC80" i="106"/>
  <c r="AE80" i="106"/>
  <c r="AC79" i="106"/>
  <c r="AE79" i="106"/>
  <c r="AC78" i="106"/>
  <c r="AE78" i="106"/>
  <c r="AC77" i="106"/>
  <c r="AE77" i="106"/>
  <c r="AC76" i="106"/>
  <c r="AE76" i="106"/>
  <c r="AC75" i="106"/>
  <c r="AE75" i="106"/>
  <c r="E75" i="106"/>
  <c r="D75" i="106"/>
  <c r="C75" i="106"/>
  <c r="B75" i="106"/>
  <c r="AC74" i="106"/>
  <c r="AE74" i="106"/>
  <c r="AC73" i="106"/>
  <c r="AE73" i="106"/>
  <c r="AC72" i="106"/>
  <c r="AE72" i="106"/>
  <c r="AC71" i="106"/>
  <c r="AE71" i="106"/>
  <c r="AC70" i="106"/>
  <c r="AE70" i="106"/>
  <c r="AC69" i="106"/>
  <c r="AE69" i="106"/>
  <c r="B69" i="106"/>
  <c r="B68" i="106"/>
  <c r="AB68" i="106"/>
  <c r="AA68" i="106"/>
  <c r="V68" i="106"/>
  <c r="O68" i="106"/>
  <c r="O188" i="106"/>
  <c r="N68" i="106"/>
  <c r="N188" i="106"/>
  <c r="M68" i="106"/>
  <c r="M188" i="106"/>
  <c r="L68" i="106"/>
  <c r="L9" i="106"/>
  <c r="K68" i="106"/>
  <c r="K8" i="106"/>
  <c r="J68" i="106"/>
  <c r="J188" i="106"/>
  <c r="I68" i="106"/>
  <c r="I8" i="106"/>
  <c r="H68" i="106"/>
  <c r="G68" i="106"/>
  <c r="F68" i="106"/>
  <c r="F7" i="106"/>
  <c r="E68" i="106"/>
  <c r="E7" i="106"/>
  <c r="D68" i="106"/>
  <c r="C68" i="106"/>
  <c r="AC67" i="106"/>
  <c r="AE67" i="106"/>
  <c r="AC66" i="106"/>
  <c r="AE66" i="106"/>
  <c r="AC65" i="106"/>
  <c r="AE65" i="106"/>
  <c r="D64" i="106"/>
  <c r="C64" i="106"/>
  <c r="B64" i="106"/>
  <c r="AC64" i="106"/>
  <c r="AE64" i="106"/>
  <c r="AC63" i="106"/>
  <c r="AE63" i="106"/>
  <c r="AC62" i="106"/>
  <c r="AE62" i="106"/>
  <c r="AC61" i="106"/>
  <c r="AE61" i="106"/>
  <c r="D60" i="106"/>
  <c r="C60" i="106"/>
  <c r="B60" i="106"/>
  <c r="AC60" i="106"/>
  <c r="AG59" i="106"/>
  <c r="AG53" i="106"/>
  <c r="D59" i="106"/>
  <c r="D53" i="106"/>
  <c r="C59" i="106"/>
  <c r="B59" i="106"/>
  <c r="AC57" i="106"/>
  <c r="AE57" i="106"/>
  <c r="AC56" i="106"/>
  <c r="AE56" i="106"/>
  <c r="C55" i="106"/>
  <c r="B55" i="106"/>
  <c r="AC55" i="106"/>
  <c r="C54" i="106"/>
  <c r="B54" i="106"/>
  <c r="AC52" i="106"/>
  <c r="AE52" i="106"/>
  <c r="AC51" i="106"/>
  <c r="AE51" i="106"/>
  <c r="AC50" i="106"/>
  <c r="AC49" i="106"/>
  <c r="AE49" i="106"/>
  <c r="AG49" i="106"/>
  <c r="D49" i="106"/>
  <c r="C49" i="106"/>
  <c r="B49" i="106"/>
  <c r="AC47" i="106"/>
  <c r="AE47" i="106"/>
  <c r="AC46" i="106"/>
  <c r="AE46" i="106"/>
  <c r="AC45" i="106"/>
  <c r="AE45" i="106"/>
  <c r="AC44" i="106"/>
  <c r="AE44" i="106"/>
  <c r="AG43" i="106"/>
  <c r="AC43" i="106"/>
  <c r="AE43" i="106"/>
  <c r="D43" i="106"/>
  <c r="C43" i="106"/>
  <c r="B43" i="106"/>
  <c r="AC42" i="106"/>
  <c r="AE42" i="106"/>
  <c r="AC41" i="106"/>
  <c r="AE41" i="106"/>
  <c r="AC40" i="106"/>
  <c r="AE40" i="106"/>
  <c r="D39" i="106"/>
  <c r="C39" i="106"/>
  <c r="B39" i="106"/>
  <c r="AC39" i="106"/>
  <c r="AE39" i="106"/>
  <c r="AC37" i="106"/>
  <c r="AE37" i="106"/>
  <c r="AC35" i="106"/>
  <c r="AE35" i="106"/>
  <c r="AC33" i="106"/>
  <c r="AE33" i="106"/>
  <c r="AC31" i="106"/>
  <c r="AE31" i="106"/>
  <c r="AC29" i="106"/>
  <c r="AE29" i="106"/>
  <c r="AC28" i="106"/>
  <c r="AE28" i="106"/>
  <c r="AC27" i="106"/>
  <c r="AE27" i="106"/>
  <c r="D26" i="106"/>
  <c r="C26" i="106"/>
  <c r="B26" i="106"/>
  <c r="AC25" i="106"/>
  <c r="AE25" i="106"/>
  <c r="AC24" i="106"/>
  <c r="AE24" i="106"/>
  <c r="AC23" i="106"/>
  <c r="AE23" i="106"/>
  <c r="D21" i="106"/>
  <c r="C21" i="106"/>
  <c r="B21" i="106"/>
  <c r="AC21" i="106"/>
  <c r="AE21" i="106"/>
  <c r="AC20" i="106"/>
  <c r="AE20" i="106"/>
  <c r="AC19" i="106"/>
  <c r="AE19" i="106"/>
  <c r="AG18" i="106"/>
  <c r="C18" i="106"/>
  <c r="B18" i="106"/>
  <c r="AC17" i="106"/>
  <c r="AE17" i="106"/>
  <c r="AC16" i="106"/>
  <c r="AE16" i="106"/>
  <c r="D15" i="106"/>
  <c r="C15" i="106"/>
  <c r="B15" i="106"/>
  <c r="AC15" i="106"/>
  <c r="AC14" i="106"/>
  <c r="AE14" i="106"/>
  <c r="AC13" i="106"/>
  <c r="AE13" i="106"/>
  <c r="AG12" i="106"/>
  <c r="D12" i="106"/>
  <c r="C12" i="106"/>
  <c r="B12" i="106"/>
  <c r="V9" i="106"/>
  <c r="T9" i="106"/>
  <c r="O9" i="106"/>
  <c r="N9" i="106"/>
  <c r="M9" i="106"/>
  <c r="AB8" i="106"/>
  <c r="V8" i="106"/>
  <c r="T8" i="106"/>
  <c r="O7" i="106"/>
  <c r="N7" i="106"/>
  <c r="M7" i="106"/>
  <c r="L7" i="106"/>
  <c r="K7" i="106"/>
  <c r="J7" i="106"/>
  <c r="I7" i="106"/>
  <c r="AC184" i="110"/>
  <c r="AE184" i="110"/>
  <c r="AC184" i="108"/>
  <c r="AE184" i="108"/>
  <c r="AC184" i="107"/>
  <c r="AE184" i="107"/>
  <c r="AC15" i="111"/>
  <c r="AE15" i="111"/>
  <c r="B11" i="111"/>
  <c r="C11" i="111"/>
  <c r="D11" i="111"/>
  <c r="D10" i="111"/>
  <c r="D7" i="111" s="1"/>
  <c r="AC15" i="110"/>
  <c r="B11" i="109"/>
  <c r="C11" i="107"/>
  <c r="D11" i="107"/>
  <c r="D10" i="107"/>
  <c r="D7" i="107" s="1"/>
  <c r="C53" i="107"/>
  <c r="C10" i="107"/>
  <c r="C7" i="107" s="1"/>
  <c r="C53" i="108"/>
  <c r="B53" i="109"/>
  <c r="B10" i="109"/>
  <c r="B7" i="109" s="1"/>
  <c r="B53" i="111"/>
  <c r="T7" i="111"/>
  <c r="T188" i="111"/>
  <c r="U7" i="111"/>
  <c r="U188" i="111"/>
  <c r="V7" i="110"/>
  <c r="V188" i="110"/>
  <c r="W7" i="110"/>
  <c r="W188" i="110"/>
  <c r="X7" i="110"/>
  <c r="X188" i="110"/>
  <c r="E9" i="110"/>
  <c r="E188" i="110"/>
  <c r="C68" i="109"/>
  <c r="B68" i="109"/>
  <c r="V7" i="108"/>
  <c r="V188" i="108"/>
  <c r="T7" i="108"/>
  <c r="T188" i="108"/>
  <c r="AC75" i="108"/>
  <c r="C68" i="108"/>
  <c r="B68" i="108"/>
  <c r="C68" i="107"/>
  <c r="B68" i="107"/>
  <c r="AG11" i="111"/>
  <c r="AG11" i="107"/>
  <c r="AG150" i="111"/>
  <c r="AG150" i="110"/>
  <c r="AG150" i="109"/>
  <c r="AG150" i="108"/>
  <c r="AG150" i="107"/>
  <c r="AG150" i="106"/>
  <c r="AG10" i="107"/>
  <c r="AG11" i="108"/>
  <c r="AG10" i="111"/>
  <c r="K9" i="111"/>
  <c r="K188" i="111"/>
  <c r="R7" i="111"/>
  <c r="R188" i="111"/>
  <c r="S7" i="111"/>
  <c r="S188" i="111"/>
  <c r="N7" i="110"/>
  <c r="N188" i="110"/>
  <c r="F9" i="108"/>
  <c r="F188" i="108"/>
  <c r="G9" i="108"/>
  <c r="G188" i="108"/>
  <c r="R7" i="108"/>
  <c r="R188" i="108"/>
  <c r="S7" i="108"/>
  <c r="S188" i="108"/>
  <c r="R7" i="107"/>
  <c r="R188" i="107"/>
  <c r="B150" i="110"/>
  <c r="AC150" i="110"/>
  <c r="AC151" i="110"/>
  <c r="AE151" i="110"/>
  <c r="AC26" i="111"/>
  <c r="AC26" i="110"/>
  <c r="AE26" i="110"/>
  <c r="D18" i="109"/>
  <c r="D11" i="109"/>
  <c r="D10" i="109"/>
  <c r="D7" i="109" s="1"/>
  <c r="AC26" i="108"/>
  <c r="AE26" i="108"/>
  <c r="AC26" i="107"/>
  <c r="AC94" i="109"/>
  <c r="AE94" i="109"/>
  <c r="AE95" i="109"/>
  <c r="AC122" i="111"/>
  <c r="AE122" i="111"/>
  <c r="AC132" i="110"/>
  <c r="AE132" i="110"/>
  <c r="AC132" i="108"/>
  <c r="AE132" i="108"/>
  <c r="AC122" i="108"/>
  <c r="AE122" i="108"/>
  <c r="C121" i="107"/>
  <c r="B11" i="106"/>
  <c r="AG11" i="106"/>
  <c r="B53" i="106"/>
  <c r="C53" i="106"/>
  <c r="V7" i="106"/>
  <c r="V188" i="106"/>
  <c r="T7" i="106"/>
  <c r="T188" i="106"/>
  <c r="AC117" i="106"/>
  <c r="AE118" i="106"/>
  <c r="C150" i="106"/>
  <c r="AC169" i="106"/>
  <c r="AE169" i="106"/>
  <c r="AC184" i="106"/>
  <c r="AE184" i="106"/>
  <c r="AC184" i="111"/>
  <c r="AE184" i="111"/>
  <c r="C175" i="109"/>
  <c r="AC176" i="109"/>
  <c r="C175" i="110"/>
  <c r="AC176" i="110"/>
  <c r="C175" i="111"/>
  <c r="AC176" i="111"/>
  <c r="AE60" i="111"/>
  <c r="AC59" i="111"/>
  <c r="AE59" i="111"/>
  <c r="AE26" i="111"/>
  <c r="AC18" i="111"/>
  <c r="AE18" i="111"/>
  <c r="B10" i="111"/>
  <c r="B7" i="111" s="1"/>
  <c r="E8" i="111"/>
  <c r="O188" i="111"/>
  <c r="O8" i="111"/>
  <c r="O7" i="111"/>
  <c r="J9" i="111"/>
  <c r="J188" i="111"/>
  <c r="J8" i="111"/>
  <c r="AE118" i="111"/>
  <c r="E7" i="111"/>
  <c r="V188" i="111"/>
  <c r="V8" i="111"/>
  <c r="AE96" i="111"/>
  <c r="AC94" i="111"/>
  <c r="AE94" i="111"/>
  <c r="L9" i="111"/>
  <c r="L188" i="111"/>
  <c r="L8" i="111"/>
  <c r="L7" i="111"/>
  <c r="C121" i="111"/>
  <c r="W188" i="111"/>
  <c r="W8" i="111"/>
  <c r="AE50" i="111"/>
  <c r="M188" i="111"/>
  <c r="M8" i="111"/>
  <c r="M7" i="111"/>
  <c r="D121" i="111"/>
  <c r="X188" i="111"/>
  <c r="X8" i="111"/>
  <c r="N8" i="111"/>
  <c r="N188" i="111"/>
  <c r="N7" i="111"/>
  <c r="AC169" i="111"/>
  <c r="AE169" i="111"/>
  <c r="Y188" i="111"/>
  <c r="Y8" i="111"/>
  <c r="Z188" i="111"/>
  <c r="J7" i="111"/>
  <c r="Z8" i="111"/>
  <c r="P188" i="111"/>
  <c r="P8" i="111"/>
  <c r="P7" i="111"/>
  <c r="AA188" i="111"/>
  <c r="K7" i="111"/>
  <c r="AA8" i="111"/>
  <c r="AC12" i="111"/>
  <c r="Q188" i="111"/>
  <c r="Q8" i="111"/>
  <c r="AB188" i="111"/>
  <c r="AC55" i="111"/>
  <c r="C54" i="111"/>
  <c r="C53" i="111"/>
  <c r="C10" i="111"/>
  <c r="C7" i="111" s="1"/>
  <c r="I9" i="111"/>
  <c r="I188" i="111"/>
  <c r="I8" i="111"/>
  <c r="X7" i="111"/>
  <c r="Y7" i="111"/>
  <c r="AA7" i="111"/>
  <c r="O9" i="111"/>
  <c r="AE176" i="111"/>
  <c r="AE100" i="111"/>
  <c r="E188" i="111"/>
  <c r="H9" i="111"/>
  <c r="H188" i="111"/>
  <c r="H8" i="111"/>
  <c r="M9" i="111"/>
  <c r="N9" i="111"/>
  <c r="AB7" i="111"/>
  <c r="P9" i="111"/>
  <c r="AG188" i="111"/>
  <c r="F8" i="111"/>
  <c r="F188" i="111"/>
  <c r="G9" i="111"/>
  <c r="G188" i="111"/>
  <c r="G8" i="111"/>
  <c r="F9" i="111"/>
  <c r="AC105" i="111"/>
  <c r="AE105" i="111"/>
  <c r="Z7" i="111"/>
  <c r="AC43" i="111"/>
  <c r="AE43" i="111"/>
  <c r="B150" i="111"/>
  <c r="AC150" i="111"/>
  <c r="AC181" i="111"/>
  <c r="AE181" i="111"/>
  <c r="S7" i="110"/>
  <c r="S9" i="110"/>
  <c r="S188" i="110"/>
  <c r="S8" i="110"/>
  <c r="AC59" i="110"/>
  <c r="AE59" i="110"/>
  <c r="AE60" i="110"/>
  <c r="AE15" i="110"/>
  <c r="AC12" i="110"/>
  <c r="Z9" i="110"/>
  <c r="Z8" i="110"/>
  <c r="Z188" i="110"/>
  <c r="Z7" i="110"/>
  <c r="AA9" i="110"/>
  <c r="AA7" i="110"/>
  <c r="AA188" i="110"/>
  <c r="AA8" i="110"/>
  <c r="AB7" i="110"/>
  <c r="AB9" i="110"/>
  <c r="AB188" i="110"/>
  <c r="AB8" i="110"/>
  <c r="L9" i="110"/>
  <c r="L188" i="110"/>
  <c r="L8" i="110"/>
  <c r="L7" i="110"/>
  <c r="AE21" i="110"/>
  <c r="AC18" i="110"/>
  <c r="AE18" i="110"/>
  <c r="P188" i="110"/>
  <c r="P8" i="110"/>
  <c r="P7" i="110"/>
  <c r="P9" i="110"/>
  <c r="K9" i="110"/>
  <c r="K188" i="110"/>
  <c r="K8" i="110"/>
  <c r="K7" i="110"/>
  <c r="C53" i="110"/>
  <c r="C10" i="110"/>
  <c r="C7" i="110" s="1"/>
  <c r="AG10" i="110"/>
  <c r="T7" i="110"/>
  <c r="T9" i="110"/>
  <c r="T188" i="110"/>
  <c r="T8" i="110"/>
  <c r="Q188" i="110"/>
  <c r="Q8" i="110"/>
  <c r="Q7" i="110"/>
  <c r="Q9" i="110"/>
  <c r="R7" i="110"/>
  <c r="R9" i="110"/>
  <c r="R188" i="110"/>
  <c r="R8" i="110"/>
  <c r="B59" i="110"/>
  <c r="B53" i="110"/>
  <c r="D121" i="110"/>
  <c r="Y7" i="110"/>
  <c r="B18" i="110"/>
  <c r="B11" i="110"/>
  <c r="B10" i="110"/>
  <c r="B7" i="110" s="1"/>
  <c r="AE50" i="110"/>
  <c r="AE118" i="110"/>
  <c r="AE176" i="110"/>
  <c r="AC75" i="110"/>
  <c r="AE75" i="110"/>
  <c r="AC86" i="110"/>
  <c r="AE86" i="110"/>
  <c r="F7" i="110"/>
  <c r="AC99" i="110"/>
  <c r="AE99" i="110"/>
  <c r="G7" i="110"/>
  <c r="Y8" i="110"/>
  <c r="Y188" i="110"/>
  <c r="AC169" i="110"/>
  <c r="AE169" i="110"/>
  <c r="J7" i="110"/>
  <c r="AC69" i="110"/>
  <c r="F8" i="110"/>
  <c r="F188" i="110"/>
  <c r="M7" i="110"/>
  <c r="G8" i="110"/>
  <c r="AC94" i="110"/>
  <c r="AE94" i="110"/>
  <c r="G188" i="110"/>
  <c r="H8" i="110"/>
  <c r="AC54" i="110"/>
  <c r="H188" i="110"/>
  <c r="O7" i="110"/>
  <c r="I8" i="110"/>
  <c r="I188" i="110"/>
  <c r="J8" i="110"/>
  <c r="AC181" i="110"/>
  <c r="AE181" i="110"/>
  <c r="J188" i="110"/>
  <c r="AC190" i="110"/>
  <c r="AE190" i="110"/>
  <c r="O8" i="110"/>
  <c r="B8" i="109"/>
  <c r="B188" i="109"/>
  <c r="W7" i="109"/>
  <c r="W9" i="109"/>
  <c r="W188" i="109"/>
  <c r="W8" i="109"/>
  <c r="X9" i="109"/>
  <c r="X188" i="109"/>
  <c r="X8" i="109"/>
  <c r="X7" i="109"/>
  <c r="Z188" i="109"/>
  <c r="Z8" i="109"/>
  <c r="Z9" i="109"/>
  <c r="Z7" i="109"/>
  <c r="Y9" i="109"/>
  <c r="Y188" i="109"/>
  <c r="Y8" i="109"/>
  <c r="Y7" i="109"/>
  <c r="E8" i="109"/>
  <c r="E7" i="109"/>
  <c r="E188" i="109"/>
  <c r="E9" i="109"/>
  <c r="V9" i="109"/>
  <c r="V188" i="109"/>
  <c r="V7" i="109"/>
  <c r="U8" i="109"/>
  <c r="AC26" i="109"/>
  <c r="V8" i="109"/>
  <c r="AA188" i="109"/>
  <c r="AA8" i="109"/>
  <c r="AA9" i="109"/>
  <c r="B150" i="109"/>
  <c r="S9" i="109"/>
  <c r="S7" i="109"/>
  <c r="AB188" i="109"/>
  <c r="AB8" i="109"/>
  <c r="AB9" i="109"/>
  <c r="AC154" i="109"/>
  <c r="AE154" i="109"/>
  <c r="R188" i="109"/>
  <c r="AC12" i="109"/>
  <c r="AE15" i="109"/>
  <c r="AC49" i="109"/>
  <c r="AE49" i="109"/>
  <c r="S188" i="109"/>
  <c r="AE50" i="109"/>
  <c r="S8" i="109"/>
  <c r="AC175" i="109"/>
  <c r="AE175" i="109"/>
  <c r="AE176" i="109"/>
  <c r="AC86" i="109"/>
  <c r="R9" i="109"/>
  <c r="R7" i="109"/>
  <c r="AE75" i="109"/>
  <c r="U9" i="109"/>
  <c r="U7" i="109"/>
  <c r="P188" i="109"/>
  <c r="P8" i="109"/>
  <c r="P7" i="109"/>
  <c r="AE55" i="109"/>
  <c r="AC54" i="109"/>
  <c r="AE118" i="109"/>
  <c r="Q188" i="109"/>
  <c r="Q8" i="109"/>
  <c r="Q7" i="109"/>
  <c r="C53" i="109"/>
  <c r="C10" i="109"/>
  <c r="C7" i="109" s="1"/>
  <c r="C121" i="109"/>
  <c r="AC121" i="109"/>
  <c r="AE121" i="109"/>
  <c r="AG10" i="109"/>
  <c r="K7" i="109"/>
  <c r="K9" i="109"/>
  <c r="K188" i="109"/>
  <c r="K8" i="109"/>
  <c r="D175" i="109"/>
  <c r="F188" i="109"/>
  <c r="M7" i="109"/>
  <c r="G8" i="109"/>
  <c r="G188" i="109"/>
  <c r="H8" i="109"/>
  <c r="H188" i="109"/>
  <c r="I8" i="109"/>
  <c r="C150" i="109"/>
  <c r="I188" i="109"/>
  <c r="J8" i="109"/>
  <c r="J188" i="109"/>
  <c r="F9" i="109"/>
  <c r="L8" i="109"/>
  <c r="L188" i="109"/>
  <c r="M8" i="109"/>
  <c r="N8" i="109"/>
  <c r="O8" i="109"/>
  <c r="E9" i="108"/>
  <c r="E8" i="108"/>
  <c r="E188" i="108"/>
  <c r="E7" i="108"/>
  <c r="D10" i="108"/>
  <c r="D7" i="108" s="1"/>
  <c r="AE75" i="108"/>
  <c r="W7" i="108"/>
  <c r="W188" i="108"/>
  <c r="W8" i="108"/>
  <c r="W9" i="108"/>
  <c r="C10" i="108"/>
  <c r="C7" i="108" s="1"/>
  <c r="AE60" i="108"/>
  <c r="AC59" i="108"/>
  <c r="AE59" i="108"/>
  <c r="X9" i="108"/>
  <c r="Z9" i="108"/>
  <c r="AC18" i="108"/>
  <c r="AE18" i="108"/>
  <c r="D121" i="108"/>
  <c r="AC121" i="108"/>
  <c r="AE121" i="108"/>
  <c r="B59" i="108"/>
  <c r="B53" i="108"/>
  <c r="B10" i="108"/>
  <c r="B7" i="108" s="1"/>
  <c r="X8" i="108"/>
  <c r="P7" i="108"/>
  <c r="P188" i="108"/>
  <c r="P8" i="108"/>
  <c r="D175" i="108"/>
  <c r="Y8" i="108"/>
  <c r="Q188" i="108"/>
  <c r="Q8" i="108"/>
  <c r="Q7" i="108"/>
  <c r="X188" i="108"/>
  <c r="Z8" i="108"/>
  <c r="AC150" i="108"/>
  <c r="AC169" i="108"/>
  <c r="AE169" i="108"/>
  <c r="Y188" i="108"/>
  <c r="AE55" i="108"/>
  <c r="AC54" i="108"/>
  <c r="AE78" i="108"/>
  <c r="Y9" i="108"/>
  <c r="AA8" i="108"/>
  <c r="Z188" i="108"/>
  <c r="AB8" i="108"/>
  <c r="AA188" i="108"/>
  <c r="AE50" i="108"/>
  <c r="H9" i="108"/>
  <c r="H8" i="108"/>
  <c r="H188" i="108"/>
  <c r="AB188" i="108"/>
  <c r="I8" i="108"/>
  <c r="I9" i="108"/>
  <c r="I188" i="108"/>
  <c r="AC86" i="108"/>
  <c r="AA7" i="108"/>
  <c r="AC12" i="108"/>
  <c r="J8" i="108"/>
  <c r="J9" i="108"/>
  <c r="J188" i="108"/>
  <c r="AC99" i="108"/>
  <c r="AE99" i="108"/>
  <c r="AB7" i="108"/>
  <c r="P9" i="108"/>
  <c r="R9" i="108"/>
  <c r="AE118" i="108"/>
  <c r="C175" i="108"/>
  <c r="Q9" i="108"/>
  <c r="AC176" i="108"/>
  <c r="S9" i="108"/>
  <c r="T9" i="108"/>
  <c r="AC181" i="108"/>
  <c r="AE181" i="108"/>
  <c r="M8" i="108"/>
  <c r="K9" i="108"/>
  <c r="K8" i="108"/>
  <c r="L8" i="108"/>
  <c r="L188" i="108"/>
  <c r="N8" i="108"/>
  <c r="O8" i="108"/>
  <c r="Y9" i="107"/>
  <c r="Y8" i="107"/>
  <c r="Y188" i="107"/>
  <c r="Y7" i="107"/>
  <c r="AC18" i="107"/>
  <c r="AE18" i="107"/>
  <c r="AE26" i="107"/>
  <c r="C188" i="107"/>
  <c r="C8" i="107"/>
  <c r="AC121" i="107"/>
  <c r="AE121" i="107"/>
  <c r="S9" i="107"/>
  <c r="AG188" i="107"/>
  <c r="AC176" i="107"/>
  <c r="E188" i="107"/>
  <c r="E9" i="107"/>
  <c r="E8" i="107"/>
  <c r="AC68" i="107"/>
  <c r="AE68" i="107"/>
  <c r="V7" i="107"/>
  <c r="V9" i="107"/>
  <c r="AE50" i="107"/>
  <c r="W7" i="107"/>
  <c r="W9" i="107"/>
  <c r="X9" i="107"/>
  <c r="X188" i="107"/>
  <c r="Z9" i="107"/>
  <c r="Z188" i="107"/>
  <c r="Z8" i="107"/>
  <c r="X7" i="107"/>
  <c r="AA9" i="107"/>
  <c r="AA188" i="107"/>
  <c r="AA8" i="107"/>
  <c r="AB9" i="107"/>
  <c r="AB188" i="107"/>
  <c r="AB8" i="107"/>
  <c r="Z7" i="107"/>
  <c r="AA7" i="107"/>
  <c r="AC132" i="107"/>
  <c r="AE132" i="107"/>
  <c r="AE55" i="107"/>
  <c r="AC54" i="107"/>
  <c r="B150" i="107"/>
  <c r="AC154" i="107"/>
  <c r="AE154" i="107"/>
  <c r="S188" i="107"/>
  <c r="S8" i="107"/>
  <c r="V188" i="107"/>
  <c r="V8" i="107"/>
  <c r="AE15" i="107"/>
  <c r="AC12" i="107"/>
  <c r="AC59" i="107"/>
  <c r="AE59" i="107"/>
  <c r="W188" i="107"/>
  <c r="AE118" i="107"/>
  <c r="P188" i="107"/>
  <c r="P8" i="107"/>
  <c r="P7" i="107"/>
  <c r="AB7" i="107"/>
  <c r="Q188" i="107"/>
  <c r="Q8" i="107"/>
  <c r="Q7" i="107"/>
  <c r="D175" i="107"/>
  <c r="B188" i="107"/>
  <c r="B8" i="107"/>
  <c r="Q9" i="107"/>
  <c r="I8" i="107"/>
  <c r="C150" i="107"/>
  <c r="C9" i="107"/>
  <c r="J8" i="107"/>
  <c r="F188" i="107"/>
  <c r="G188" i="107"/>
  <c r="H188" i="107"/>
  <c r="AC181" i="107"/>
  <c r="AE181" i="107"/>
  <c r="K8" i="107"/>
  <c r="K188" i="107"/>
  <c r="H9" i="107"/>
  <c r="N8" i="107"/>
  <c r="O8" i="107"/>
  <c r="J9" i="107"/>
  <c r="F8" i="107"/>
  <c r="G8" i="107"/>
  <c r="I188" i="107"/>
  <c r="L8" i="107"/>
  <c r="L188" i="107"/>
  <c r="M8" i="107"/>
  <c r="AC59" i="106"/>
  <c r="AE59" i="106"/>
  <c r="AE60" i="106"/>
  <c r="AA9" i="106"/>
  <c r="AA8" i="106"/>
  <c r="AA7" i="106"/>
  <c r="AA188" i="106"/>
  <c r="D18" i="106"/>
  <c r="D11" i="106"/>
  <c r="D10" i="106"/>
  <c r="D7" i="106" s="1"/>
  <c r="AC26" i="106"/>
  <c r="C121" i="106"/>
  <c r="AC121" i="106"/>
  <c r="AE121" i="106"/>
  <c r="AC122" i="106"/>
  <c r="AE122" i="106"/>
  <c r="AE15" i="106"/>
  <c r="AC12" i="106"/>
  <c r="X9" i="106"/>
  <c r="X8" i="106"/>
  <c r="X188" i="106"/>
  <c r="X7" i="106"/>
  <c r="AB188" i="106"/>
  <c r="AB9" i="106"/>
  <c r="AB7" i="106"/>
  <c r="P188" i="106"/>
  <c r="P8" i="106"/>
  <c r="P7" i="106"/>
  <c r="P9" i="106"/>
  <c r="Q188" i="106"/>
  <c r="Q8" i="106"/>
  <c r="Q7" i="106"/>
  <c r="Q9" i="106"/>
  <c r="C11" i="106"/>
  <c r="C10" i="106"/>
  <c r="U7" i="106"/>
  <c r="U188" i="106"/>
  <c r="U9" i="106"/>
  <c r="U8" i="106"/>
  <c r="R7" i="106"/>
  <c r="R8" i="106"/>
  <c r="R188" i="106"/>
  <c r="R9" i="106"/>
  <c r="Z9" i="106"/>
  <c r="Z8" i="106"/>
  <c r="Z7" i="106"/>
  <c r="Z188" i="106"/>
  <c r="Y9" i="106"/>
  <c r="Y188" i="106"/>
  <c r="Y7" i="106"/>
  <c r="Y8" i="106"/>
  <c r="W7" i="106"/>
  <c r="W8" i="106"/>
  <c r="W188" i="106"/>
  <c r="W9" i="106"/>
  <c r="AC176" i="106"/>
  <c r="S8" i="106"/>
  <c r="AE50" i="106"/>
  <c r="AC54" i="106"/>
  <c r="AE55" i="106"/>
  <c r="S9" i="106"/>
  <c r="E9" i="106"/>
  <c r="E188" i="106"/>
  <c r="E8" i="106"/>
  <c r="S188" i="106"/>
  <c r="F188" i="106"/>
  <c r="F8" i="106"/>
  <c r="F9" i="106"/>
  <c r="G8" i="106"/>
  <c r="G9" i="106"/>
  <c r="G188" i="106"/>
  <c r="H9" i="106"/>
  <c r="H188" i="106"/>
  <c r="H8" i="106"/>
  <c r="G7" i="106"/>
  <c r="H7" i="106"/>
  <c r="B150" i="106"/>
  <c r="AC150" i="106"/>
  <c r="AC154" i="106"/>
  <c r="AE154" i="106"/>
  <c r="I188" i="106"/>
  <c r="J8" i="106"/>
  <c r="AC181" i="106"/>
  <c r="AE181" i="106"/>
  <c r="N8" i="106"/>
  <c r="I9" i="106"/>
  <c r="O8" i="106"/>
  <c r="J9" i="106"/>
  <c r="K188" i="106"/>
  <c r="M8" i="106"/>
  <c r="K9" i="106"/>
  <c r="L8" i="106"/>
  <c r="L188" i="106"/>
  <c r="D8" i="109"/>
  <c r="D9" i="109"/>
  <c r="D188" i="109"/>
  <c r="D8" i="107"/>
  <c r="D188" i="107"/>
  <c r="D9" i="107"/>
  <c r="AG10" i="106"/>
  <c r="AG7" i="107"/>
  <c r="AG10" i="108"/>
  <c r="AG7" i="109"/>
  <c r="AG188" i="109"/>
  <c r="AG7" i="110"/>
  <c r="AG7" i="111"/>
  <c r="AC150" i="107"/>
  <c r="D9" i="111"/>
  <c r="AC121" i="111"/>
  <c r="AE121" i="111"/>
  <c r="D9" i="110"/>
  <c r="D188" i="110"/>
  <c r="D8" i="110"/>
  <c r="AC121" i="110"/>
  <c r="AE121" i="110"/>
  <c r="AE117" i="106"/>
  <c r="AC68" i="106"/>
  <c r="AE68" i="106"/>
  <c r="B10" i="106"/>
  <c r="B7" i="106" s="1"/>
  <c r="AE86" i="108"/>
  <c r="AC68" i="108"/>
  <c r="AE68" i="108"/>
  <c r="AE86" i="109"/>
  <c r="AC68" i="109"/>
  <c r="AE68" i="109"/>
  <c r="C9" i="111"/>
  <c r="C8" i="111"/>
  <c r="C188" i="111"/>
  <c r="AC175" i="111"/>
  <c r="AE175" i="111"/>
  <c r="AE55" i="111"/>
  <c r="AC54" i="111"/>
  <c r="B9" i="111"/>
  <c r="B188" i="111"/>
  <c r="B8" i="111"/>
  <c r="AC7" i="111"/>
  <c r="AE7" i="111"/>
  <c r="AC68" i="111"/>
  <c r="AE68" i="111"/>
  <c r="D8" i="111"/>
  <c r="D188" i="111"/>
  <c r="AE12" i="111"/>
  <c r="AC11" i="111"/>
  <c r="C9" i="110"/>
  <c r="C188" i="110"/>
  <c r="C8" i="110"/>
  <c r="B9" i="110"/>
  <c r="AC9" i="110"/>
  <c r="AE9" i="110"/>
  <c r="B8" i="110"/>
  <c r="AC8" i="110"/>
  <c r="AE8" i="110"/>
  <c r="B188" i="110"/>
  <c r="AC11" i="110"/>
  <c r="AE12" i="110"/>
  <c r="AE54" i="110"/>
  <c r="AC53" i="110"/>
  <c r="AE53" i="110"/>
  <c r="AC175" i="110"/>
  <c r="AE175" i="110"/>
  <c r="AE69" i="110"/>
  <c r="AC68" i="110"/>
  <c r="AE68" i="110"/>
  <c r="AG188" i="110"/>
  <c r="C8" i="109"/>
  <c r="C9" i="109"/>
  <c r="C188" i="109"/>
  <c r="AC7" i="109"/>
  <c r="AE7" i="109"/>
  <c r="AE12" i="109"/>
  <c r="AC150" i="109"/>
  <c r="AC18" i="109"/>
  <c r="AE18" i="109"/>
  <c r="AE26" i="109"/>
  <c r="AC53" i="109"/>
  <c r="AE53" i="109"/>
  <c r="AE54" i="109"/>
  <c r="B9" i="109"/>
  <c r="AC9" i="109"/>
  <c r="AE9" i="109"/>
  <c r="AC8" i="109"/>
  <c r="AE8" i="109"/>
  <c r="B188" i="108"/>
  <c r="B8" i="108"/>
  <c r="B9" i="108"/>
  <c r="C9" i="108"/>
  <c r="C188" i="108"/>
  <c r="C8" i="108"/>
  <c r="AE54" i="108"/>
  <c r="AC53" i="108"/>
  <c r="AE53" i="108"/>
  <c r="D9" i="108"/>
  <c r="D188" i="108"/>
  <c r="D8" i="108"/>
  <c r="AC175" i="108"/>
  <c r="AE175" i="108"/>
  <c r="AE176" i="108"/>
  <c r="AE12" i="108"/>
  <c r="AC11" i="108"/>
  <c r="AE54" i="107"/>
  <c r="AC53" i="107"/>
  <c r="AE53" i="107"/>
  <c r="AC8" i="107"/>
  <c r="AE8" i="107"/>
  <c r="AC175" i="107"/>
  <c r="AE175" i="107"/>
  <c r="AE176" i="107"/>
  <c r="B9" i="107"/>
  <c r="AC9" i="107"/>
  <c r="AE9" i="107"/>
  <c r="AE12" i="107"/>
  <c r="AC11" i="107"/>
  <c r="AC7" i="107"/>
  <c r="AE7" i="107"/>
  <c r="AE12" i="106"/>
  <c r="AE54" i="106"/>
  <c r="AC53" i="106"/>
  <c r="AE53" i="106"/>
  <c r="D9" i="106"/>
  <c r="D8" i="106"/>
  <c r="D188" i="106"/>
  <c r="C8" i="106"/>
  <c r="C188" i="106"/>
  <c r="AC18" i="106"/>
  <c r="AE18" i="106"/>
  <c r="AE26" i="106"/>
  <c r="AC175" i="106"/>
  <c r="AE175" i="106"/>
  <c r="AE176" i="106"/>
  <c r="B9" i="106"/>
  <c r="AG188" i="106"/>
  <c r="AG7" i="106"/>
  <c r="AG7" i="108"/>
  <c r="AG188" i="108"/>
  <c r="AC7" i="110"/>
  <c r="AE7" i="110"/>
  <c r="B8" i="106"/>
  <c r="AC8" i="106"/>
  <c r="AE8" i="106"/>
  <c r="B188" i="106"/>
  <c r="AC8" i="111"/>
  <c r="AE8" i="111"/>
  <c r="AC9" i="111"/>
  <c r="AE9" i="111"/>
  <c r="AE54" i="111"/>
  <c r="AC53" i="111"/>
  <c r="AE53" i="111"/>
  <c r="AC10" i="111"/>
  <c r="AE11" i="111"/>
  <c r="AC10" i="110"/>
  <c r="AE11" i="110"/>
  <c r="AC11" i="109"/>
  <c r="AC10" i="108"/>
  <c r="AE11" i="108"/>
  <c r="AC9" i="108"/>
  <c r="AE9" i="108"/>
  <c r="AC8" i="108"/>
  <c r="AE8" i="108"/>
  <c r="AC7" i="108"/>
  <c r="AE7" i="108"/>
  <c r="AC10" i="107"/>
  <c r="AE11" i="107"/>
  <c r="AC11" i="106"/>
  <c r="AE10" i="111"/>
  <c r="AC188" i="111"/>
  <c r="AE188" i="111"/>
  <c r="AE10" i="110"/>
  <c r="AC188" i="110"/>
  <c r="AE188" i="110"/>
  <c r="AC10" i="109"/>
  <c r="AE11" i="109"/>
  <c r="AE10" i="108"/>
  <c r="AC188" i="108"/>
  <c r="AE188" i="108"/>
  <c r="AE10" i="107"/>
  <c r="AC188" i="107"/>
  <c r="AE188" i="107"/>
  <c r="AC10" i="106"/>
  <c r="AE11" i="106"/>
  <c r="AC188" i="109"/>
  <c r="AE188" i="109"/>
  <c r="AE10" i="109"/>
  <c r="AC188" i="106"/>
  <c r="AE188" i="106"/>
  <c r="AE10" i="106"/>
  <c r="C7" i="106" l="1"/>
  <c r="AC7" i="106" s="1"/>
  <c r="AE7" i="106" s="1"/>
  <c r="C9" i="106"/>
  <c r="AC9" i="106" s="1"/>
  <c r="AE9" i="106" s="1"/>
</calcChain>
</file>

<file path=xl/sharedStrings.xml><?xml version="1.0" encoding="utf-8"?>
<sst xmlns="http://schemas.openxmlformats.org/spreadsheetml/2006/main" count="1368" uniqueCount="228">
  <si>
    <t>INVENTARIO NACIONAL DE EMISIONES DE GASES Y COMPUESTOS DE EFECTO INVERNADERO (INEGYCEI)</t>
  </si>
  <si>
    <t>CATEGORÍA / FUENTE / SUBFUENTE 
DE EMISIÓN</t>
  </si>
  <si>
    <r>
      <t>Emisiones de gases de efecto invernadero  (t de CO</t>
    </r>
    <r>
      <rPr>
        <b/>
        <vertAlign val="subscript"/>
        <sz val="14"/>
        <rFont val="Montserrat Medium"/>
      </rPr>
      <t>2</t>
    </r>
    <r>
      <rPr>
        <b/>
        <sz val="14"/>
        <rFont val="Montserrat Medium"/>
      </rPr>
      <t>e )</t>
    </r>
  </si>
  <si>
    <r>
      <t>CO</t>
    </r>
    <r>
      <rPr>
        <vertAlign val="subscript"/>
        <sz val="8"/>
        <rFont val="Montserrat Medium"/>
      </rPr>
      <t>2</t>
    </r>
  </si>
  <si>
    <r>
      <t>CH</t>
    </r>
    <r>
      <rPr>
        <vertAlign val="subscript"/>
        <sz val="8"/>
        <rFont val="Montserrat Medium"/>
      </rPr>
      <t>4</t>
    </r>
  </si>
  <si>
    <r>
      <t>N</t>
    </r>
    <r>
      <rPr>
        <vertAlign val="subscript"/>
        <sz val="8"/>
        <rFont val="Montserrat Medium"/>
      </rPr>
      <t>2</t>
    </r>
    <r>
      <rPr>
        <sz val="8"/>
        <rFont val="Montserrat Medium"/>
      </rPr>
      <t>O</t>
    </r>
  </si>
  <si>
    <t>HFCs</t>
  </si>
  <si>
    <t>PFCs</t>
  </si>
  <si>
    <r>
      <t>NF</t>
    </r>
    <r>
      <rPr>
        <vertAlign val="subscript"/>
        <sz val="11"/>
        <color theme="1"/>
        <rFont val="Montserrat Medium"/>
      </rPr>
      <t>3</t>
    </r>
  </si>
  <si>
    <r>
      <t>SF</t>
    </r>
    <r>
      <rPr>
        <vertAlign val="subscript"/>
        <sz val="8"/>
        <rFont val="Montserrat Medium"/>
      </rPr>
      <t>6</t>
    </r>
  </si>
  <si>
    <r>
      <t>EMISIONES
t de CO</t>
    </r>
    <r>
      <rPr>
        <vertAlign val="subscript"/>
        <sz val="8"/>
        <rFont val="Montserrat Medium"/>
      </rPr>
      <t>2e</t>
    </r>
  </si>
  <si>
    <r>
      <t>EMISIONES
kt de CO</t>
    </r>
    <r>
      <rPr>
        <vertAlign val="subscript"/>
        <sz val="8"/>
        <rFont val="Montserrat Medium"/>
      </rPr>
      <t>2e</t>
    </r>
  </si>
  <si>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</si>
  <si>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</si>
  <si>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</si>
  <si>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</si>
  <si>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</si>
  <si>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</si>
  <si>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</si>
  <si>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</si>
  <si>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</si>
  <si>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</si>
  <si>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</si>
  <si>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</si>
  <si>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</si>
  <si>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</si>
  <si>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</si>
  <si>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</si>
  <si>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</si>
  <si>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r>
      <t>CF</t>
    </r>
    <r>
      <rPr>
        <vertAlign val="subscript"/>
        <sz val="8"/>
        <rFont val="Montserrat Medium"/>
      </rPr>
      <t>4</t>
    </r>
  </si>
  <si>
    <r>
      <t>C</t>
    </r>
    <r>
      <rPr>
        <vertAlign val="subscript"/>
        <sz val="8"/>
        <rFont val="Montserrat Medium"/>
      </rPr>
      <t>2</t>
    </r>
    <r>
      <rPr>
        <sz val="8"/>
        <rFont val="Montserrat Medium"/>
      </rPr>
      <t>F</t>
    </r>
    <r>
      <rPr>
        <vertAlign val="subscript"/>
        <sz val="8"/>
        <rFont val="Montserrat Medium"/>
      </rPr>
      <t>6</t>
    </r>
  </si>
  <si>
    <r>
      <t>C</t>
    </r>
    <r>
      <rPr>
        <vertAlign val="subscript"/>
        <sz val="8"/>
        <rFont val="Montserrat Medium"/>
      </rPr>
      <t>3</t>
    </r>
    <r>
      <rPr>
        <sz val="8"/>
        <rFont val="Montserrat Medium"/>
      </rPr>
      <t>F</t>
    </r>
    <r>
      <rPr>
        <vertAlign val="subscript"/>
        <sz val="8"/>
        <rFont val="Montserrat Medium"/>
      </rPr>
      <t>8</t>
    </r>
  </si>
  <si>
    <r>
      <t>C</t>
    </r>
    <r>
      <rPr>
        <vertAlign val="subscript"/>
        <sz val="8"/>
        <rFont val="Montserrat Medium"/>
      </rPr>
      <t>4</t>
    </r>
    <r>
      <rPr>
        <sz val="8"/>
        <rFont val="Montserrat Medium"/>
      </rPr>
      <t>F</t>
    </r>
    <r>
      <rPr>
        <vertAlign val="subscript"/>
        <sz val="8"/>
        <rFont val="Montserrat Medium"/>
      </rPr>
      <t>6</t>
    </r>
  </si>
  <si>
    <r>
      <rPr>
        <sz val="11"/>
        <color theme="1"/>
        <rFont val="Montserrat Medium"/>
      </rPr>
      <t>c-C</t>
    </r>
    <r>
      <rPr>
        <vertAlign val="subscript"/>
        <sz val="11"/>
        <color theme="1"/>
        <rFont val="Montserrat Medium"/>
      </rPr>
      <t>4</t>
    </r>
    <r>
      <rPr>
        <sz val="11"/>
        <color theme="1"/>
        <rFont val="Montserrat Medium"/>
      </rPr>
      <t>F</t>
    </r>
    <r>
      <rPr>
        <vertAlign val="subscript"/>
        <sz val="11"/>
        <color theme="1"/>
        <rFont val="Montserrat Medium"/>
      </rPr>
      <t>8</t>
    </r>
  </si>
  <si>
    <r>
      <t>C</t>
    </r>
    <r>
      <rPr>
        <vertAlign val="subscript"/>
        <sz val="11"/>
        <color theme="1"/>
        <rFont val="Montserrat Medium"/>
      </rPr>
      <t>5</t>
    </r>
    <r>
      <rPr>
        <sz val="11"/>
        <color theme="1"/>
        <rFont val="Montserrat Medium"/>
      </rPr>
      <t>F</t>
    </r>
    <r>
      <rPr>
        <vertAlign val="subscript"/>
        <sz val="11"/>
        <color theme="1"/>
        <rFont val="Montserrat Medium"/>
      </rPr>
      <t>8</t>
    </r>
  </si>
  <si>
    <t xml:space="preserve">  Potencial de calentamiento</t>
  </si>
  <si>
    <r>
      <t>EMISIONES BRUTAS (con UTCUTS</t>
    </r>
    <r>
      <rPr>
        <b/>
        <vertAlign val="superscript"/>
        <sz val="10"/>
        <rFont val="Montserrat Medium"/>
      </rPr>
      <t>1</t>
    </r>
    <r>
      <rPr>
        <b/>
        <sz val="10"/>
        <rFont val="Montserrat Medium"/>
      </rPr>
      <t>)</t>
    </r>
    <r>
      <rPr>
        <b/>
        <vertAlign val="superscript"/>
        <sz val="10"/>
        <rFont val="Montserrat Medium"/>
      </rPr>
      <t>2</t>
    </r>
  </si>
  <si>
    <r>
      <t>EMISIONES Sin UTCUTS</t>
    </r>
    <r>
      <rPr>
        <b/>
        <vertAlign val="superscript"/>
        <sz val="10"/>
        <rFont val="Montserrat Medium"/>
      </rPr>
      <t>3</t>
    </r>
  </si>
  <si>
    <r>
      <t>EMISIONES NETAS (Emisiones + Absorciones)</t>
    </r>
    <r>
      <rPr>
        <b/>
        <vertAlign val="superscript"/>
        <sz val="10"/>
        <rFont val="Montserrat Medium"/>
      </rPr>
      <t>4</t>
    </r>
  </si>
  <si>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</si>
  <si>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</si>
  <si>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</si>
  <si>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</si>
  <si>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</si>
  <si>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</si>
  <si>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</si>
  <si>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</si>
  <si>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</si>
  <si>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</si>
  <si>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</si>
  <si>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</si>
  <si>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</si>
  <si>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</si>
  <si>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</si>
  <si>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</si>
  <si>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</si>
  <si>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</si>
  <si>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</si>
  <si>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</si>
  <si>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</si>
  <si>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</si>
  <si>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</si>
  <si>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</si>
  <si>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</si>
  <si>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</si>
  <si>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</si>
  <si>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</si>
  <si>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</si>
  <si>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</si>
  <si>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</si>
  <si>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</si>
  <si>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</si>
  <si>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</si>
  <si>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</si>
  <si>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</si>
  <si>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</si>
  <si>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</si>
  <si>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</si>
  <si>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</si>
  <si>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</si>
  <si>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</si>
  <si>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</si>
  <si>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</si>
  <si>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</si>
  <si>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</si>
  <si>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</si>
  <si>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</si>
  <si>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</si>
  <si>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</si>
  <si>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</si>
  <si>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</si>
  <si>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</si>
  <si>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</si>
  <si>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</si>
  <si>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</si>
  <si>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</si>
  <si>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</si>
  <si>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</si>
  <si>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</si>
  <si>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</si>
  <si>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</si>
  <si>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</si>
  <si>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</si>
  <si>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</si>
  <si>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</si>
  <si>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</si>
  <si>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</si>
  <si>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</si>
  <si>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</si>
  <si>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</si>
  <si>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</si>
  <si>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</si>
  <si>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</si>
  <si>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</si>
  <si>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</si>
  <si>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</si>
  <si>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</si>
  <si>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</si>
  <si>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</si>
  <si>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</si>
  <si>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</si>
  <si>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</si>
  <si>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</si>
  <si>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</si>
  <si>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</si>
  <si>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</si>
  <si>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</si>
  <si>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</si>
  <si>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</si>
  <si>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</si>
  <si>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</si>
  <si>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</si>
  <si>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</si>
  <si>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</si>
  <si>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</si>
  <si>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</si>
  <si>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</si>
  <si>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</si>
  <si>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</si>
  <si>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</si>
  <si>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</si>
  <si>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</si>
  <si>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</si>
  <si>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</si>
  <si>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</si>
  <si>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</si>
  <si>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</si>
  <si>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</si>
  <si>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</si>
  <si>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</si>
  <si>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</si>
  <si>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</si>
  <si>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</si>
  <si>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</si>
  <si>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</si>
  <si>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</si>
  <si>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</si>
  <si>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</si>
  <si>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</si>
  <si>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</si>
  <si>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</si>
  <si>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</si>
  <si>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</si>
  <si>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</si>
  <si>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</si>
  <si>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</si>
  <si>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</si>
  <si>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</si>
  <si>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</si>
  <si>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</si>
  <si>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</si>
  <si>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</si>
  <si>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r>
      <t xml:space="preserve">     [3B5] Emisiones indirectas de los N</t>
    </r>
    <r>
      <rPr>
        <vertAlign val="subscript"/>
        <sz val="8"/>
        <rFont val="Montserrat Medium"/>
      </rPr>
      <t>2</t>
    </r>
    <r>
      <rPr>
        <sz val="8"/>
        <rFont val="Montserrat Medium"/>
      </rPr>
      <t>O de la gestión del estiércol</t>
    </r>
  </si>
  <si>
    <t xml:space="preserve">     [3C] Cultivo del arroz</t>
  </si>
  <si>
    <r>
      <t xml:space="preserve">     [3D1] Emisiones directas de los N</t>
    </r>
    <r>
      <rPr>
        <vertAlign val="subscript"/>
        <sz val="8"/>
        <rFont val="Montserrat Medium"/>
      </rPr>
      <t>2</t>
    </r>
    <r>
      <rPr>
        <sz val="8"/>
        <rFont val="Montserrat Medium"/>
      </rPr>
      <t>O de los suelos gestionados</t>
    </r>
  </si>
  <si>
    <r>
      <t xml:space="preserve">     [3D2] Emisiones indirectas de los N</t>
    </r>
    <r>
      <rPr>
        <vertAlign val="subscript"/>
        <sz val="8"/>
        <rFont val="Montserrat Medium"/>
      </rPr>
      <t>2</t>
    </r>
    <r>
      <rPr>
        <sz val="8"/>
        <rFont val="Montserrat Medium"/>
      </rPr>
      <t>O de los suelos gestionados</t>
    </r>
  </si>
  <si>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</si>
  <si>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</si>
  <si>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</si>
  <si>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</si>
  <si>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</si>
  <si>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</si>
  <si>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</si>
  <si>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</si>
  <si>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</si>
  <si>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</si>
  <si>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</si>
  <si>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</si>
  <si>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</si>
  <si>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</si>
  <si>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</si>
  <si>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</si>
  <si>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</si>
  <si>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</si>
  <si>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</si>
  <si>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</si>
  <si>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</si>
  <si>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</si>
  <si>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</si>
  <si>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</si>
  <si>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</si>
  <si>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</si>
  <si>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</si>
  <si>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</si>
  <si>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</si>
  <si>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</si>
  <si>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</si>
  <si>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</si>
  <si>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</si>
  <si>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</si>
  <si>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</si>
  <si>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</si>
  <si>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</si>
  <si>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</si>
  <si>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</si>
  <si>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</si>
  <si>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</si>
  <si>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r>
      <t>EMISIONES NETAS (t de CO</t>
    </r>
    <r>
      <rPr>
        <b/>
        <vertAlign val="subscript"/>
        <sz val="10"/>
        <rFont val="Montserrat Medium"/>
      </rPr>
      <t>2</t>
    </r>
    <r>
      <rPr>
        <b/>
        <sz val="10"/>
        <rFont val="Montserrat Medium"/>
      </rPr>
      <t>e)</t>
    </r>
  </si>
  <si>
    <r>
      <t>Bunkers</t>
    </r>
    <r>
      <rPr>
        <b/>
        <vertAlign val="superscript"/>
        <sz val="8"/>
        <rFont val="Montserrat Medium"/>
      </rPr>
      <t>5</t>
    </r>
  </si>
  <si>
    <t>Aviación internacional</t>
  </si>
  <si>
    <t>Marítimo internacional</t>
  </si>
  <si>
    <r>
      <t>Emisiones de CO</t>
    </r>
    <r>
      <rPr>
        <b/>
        <vertAlign val="subscript"/>
        <sz val="8"/>
        <rFont val="Montserrat Medium"/>
      </rPr>
      <t>2</t>
    </r>
    <r>
      <rPr>
        <b/>
        <sz val="8"/>
        <rFont val="Montserrat Medium"/>
      </rPr>
      <t xml:space="preserve"> por quema de biomasa</t>
    </r>
  </si>
  <si>
    <t>Notas:</t>
  </si>
  <si>
    <r>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t>
    </r>
    <r>
      <rPr>
        <i/>
        <sz val="11"/>
        <color theme="1"/>
        <rFont val="Montserrat Medium"/>
      </rPr>
      <t>"Categories mapping CRT and 2006 IPCC Guidelines"</t>
    </r>
    <r>
      <rPr>
        <sz val="11"/>
        <color theme="1"/>
        <rFont val="Montserrat Medium"/>
      </rPr>
      <t xml:space="preserve"> https://unfccc.int/documents/634242 </t>
    </r>
  </si>
  <si>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</si>
  <si>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</si>
  <si>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</si>
  <si>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r>
      <t>Las emisiones de bunkers y las emisiones de CO</t>
    </r>
    <r>
      <rPr>
        <vertAlign val="subscript"/>
        <sz val="11"/>
        <color theme="1"/>
        <rFont val="Montserrat Medium"/>
      </rPr>
      <t>2</t>
    </r>
    <r>
      <rPr>
        <sz val="11"/>
        <color theme="1"/>
        <rFont val="Montserrat Medium"/>
      </rPr>
      <t xml:space="preserve"> por la quema de biomasa no se encuentran contabilizadas al total de inventario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</si>
</sst>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3" formatCode="_-* #,##0.00_-;\-* #,##0.00_-;_-* &quot;-&quot;??_-;_-@_-"/>
    <numFmt numFmtId="164" formatCode="_-&quot;$&quot;* #,##0_-;\-&quot;$&quot;* #,##0_-;_-&quot;$&quot;* &quot;-&quot;_-;_-@_-"/>
    <numFmt numFmtId="165" formatCode="#,##0.000"/>
    <numFmt numFmtId="166" formatCode="General_)"/>
    <numFmt numFmtId="167" formatCode="0.0"/>
    <numFmt numFmtId="168" formatCode="0.000"/>
    <numFmt numFmtId="169" formatCode="#,##0.0"/>
    <numFmt numFmtId="170" formatCode="0.0000000000000"/>
    <numFmt numFmtId="171" formatCode="&quot;N$&quot;#,##0.00;\-&quot;N$&quot;#,##0.00"/>
    <numFmt numFmtId="172" formatCode="_(* #,##0_);_(* \(#,##0\);_(* &quot;-&quot;??_);_(@_)"/>
    <numFmt numFmtId="173" formatCode="_(* #,##0.000_);_(* \(#,##0.000\);_(* &quot;-&quot;??_);_(@_)"/>
    <numFmt numFmtId="174" formatCode="_-[$€-2]* #,##0.00_-;\-[$€-2]* #,##0.00_-;_-[$€-2]* &quot;-&quot;??_-"/>
    <numFmt numFmtId="175" formatCode="_-* #,##0.00\ _€_-;\-* #,##0.00\ _€_-;_-* &quot;-&quot;??\ _€_-;_-@_-"/>
    <numFmt numFmtId="176" formatCode="#\,##0.00"/>
    <numFmt numFmtId="177" formatCode="&quot;$&quot;#.00"/>
    <numFmt numFmtId="178" formatCode="m\o\n\th\ d\,\ \y\y\y\y"/>
    <numFmt numFmtId="179" formatCode="#."/>
    <numFmt numFmtId="180" formatCode="#.00"/>
    <numFmt numFmtId="181" formatCode="_-* #,##0.000_-;\-* #,##0.000_-;_-* &quot;-&quot;???_-;_-@_-"/>
  </numFmts>
  <fonts count="93" x14ac:knownFonts="1">
    <font>
      <sz val="11"/>
      <color theme="1"/>
      <name val="Calibri"/>
      <family val="2"/>
      <scheme val="minor"/>
    </font>
    <font>
      <b/>
      <sz val="10"/>
      <name val="Arial"/>
      <family val="2"/>
    </font>
    <font>
      <sz val="8"/>
      <name val="Arial"/>
      <family val="2"/>
    </font>
    <font>
      <sz val="10"/>
      <name val="Arial"/>
      <family val="2"/>
    </font>
    <font>
      <sz val="11"/>
      <color theme="1"/>
      <name val="Calibri"/>
      <family val="2"/>
      <scheme val="minor"/>
    </font>
    <font>
      <sz val="11"/>
      <color indexed="8"/>
      <name val="Calibri"/>
      <family val="2"/>
    </font>
    <font>
      <sz val="10"/>
      <name val="Courier"/>
      <family val="3"/>
    </font>
    <font>
      <b/>
      <sz val="11"/>
      <color theme="1"/>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u/>
      <sz val="10"/>
      <color indexed="12"/>
      <name val="Arial"/>
      <family val="2"/>
    </font>
    <font>
      <sz val="11"/>
      <color theme="1"/>
      <name val="Arial"/>
      <family val="2"/>
    </font>
    <font>
      <u/>
      <sz val="11"/>
      <color theme="10"/>
      <name val="Arial"/>
      <family val="2"/>
    </font>
    <font>
      <u/>
      <sz val="10"/>
      <color theme="10"/>
      <name val="Arial"/>
      <family val="2"/>
    </font>
    <font>
      <sz val="9"/>
      <name val="Arial"/>
      <family val="2"/>
    </font>
    <font>
      <u/>
      <sz val="13"/>
      <color theme="10"/>
      <name val="Arial"/>
      <family val="2"/>
    </font>
    <font>
      <sz val="12"/>
      <color theme="1"/>
      <name val="Calibri"/>
      <family val="2"/>
      <scheme val="minor"/>
    </font>
    <font>
      <sz val="10"/>
      <color rgb="FF000000"/>
      <name val="Arial"/>
      <family val="2"/>
    </font>
    <font>
      <sz val="12"/>
      <color theme="0"/>
      <name val="Arial"/>
      <family val="2"/>
    </font>
    <font>
      <sz val="10"/>
      <color theme="1"/>
      <name val="Arial"/>
      <family val="2"/>
    </font>
    <font>
      <sz val="9"/>
      <color theme="1"/>
      <name val="Arial"/>
      <family val="2"/>
    </font>
    <font>
      <sz val="7"/>
      <name val="Arial"/>
      <family val="2"/>
    </font>
    <font>
      <u/>
      <sz val="8"/>
      <color indexed="12"/>
      <name val="Arial"/>
      <family val="2"/>
    </font>
    <font>
      <u/>
      <sz val="7"/>
      <color indexed="12"/>
      <name val="Arial"/>
      <family val="2"/>
    </font>
    <font>
      <sz val="2"/>
      <name val="Arial"/>
      <family val="2"/>
    </font>
    <font>
      <sz val="9"/>
      <name val="Microsoft Sans Serif"/>
      <family val="2"/>
    </font>
    <font>
      <sz val="8"/>
      <color theme="1"/>
      <name val="Arial Narrow"/>
      <family val="2"/>
    </font>
    <font>
      <sz val="11"/>
      <color indexed="8"/>
      <name val="Calibri"/>
      <family val="2"/>
      <scheme val="minor"/>
    </font>
    <font>
      <b/>
      <sz val="9"/>
      <name val="Arial"/>
      <family val="2"/>
    </font>
    <font>
      <sz val="12"/>
      <color theme="1"/>
      <name val="Arial"/>
      <family val="2"/>
    </font>
    <font>
      <sz val="11"/>
      <name val="Calibri"/>
      <family val="2"/>
    </font>
    <font>
      <sz val="18"/>
      <color theme="3"/>
      <name val="Cambria"/>
      <family val="2"/>
      <scheme val="major"/>
    </font>
    <font>
      <sz val="10"/>
      <name val="Calibri"/>
      <family val="2"/>
    </font>
    <font>
      <sz val="11"/>
      <color theme="1"/>
      <name val="Montserrat"/>
      <family val="2"/>
    </font>
    <font>
      <sz val="10"/>
      <name val="Century Gothic"/>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b/>
      <sz val="11"/>
      <color indexed="56"/>
      <name val="Calibri"/>
      <family val="2"/>
    </font>
    <font>
      <sz val="11"/>
      <color indexed="62"/>
      <name val="Calibri"/>
      <family val="2"/>
    </font>
    <font>
      <sz val="10"/>
      <name val="Helv"/>
      <family val="2"/>
    </font>
    <font>
      <i/>
      <sz val="11"/>
      <color indexed="23"/>
      <name val="Calibri"/>
      <family val="2"/>
    </font>
    <font>
      <sz val="1"/>
      <color indexed="16"/>
      <name val="Courier"/>
      <family val="3"/>
    </font>
    <font>
      <b/>
      <sz val="15"/>
      <color indexed="56"/>
      <name val="Calibri"/>
      <family val="2"/>
    </font>
    <font>
      <b/>
      <sz val="13"/>
      <color indexed="56"/>
      <name val="Calibri"/>
      <family val="2"/>
    </font>
    <font>
      <b/>
      <sz val="1"/>
      <color indexed="8"/>
      <name val="Courier"/>
      <family val="3"/>
    </font>
    <font>
      <sz val="10"/>
      <name val="MS Sans Serif"/>
      <family val="2"/>
    </font>
    <font>
      <sz val="11"/>
      <color indexed="60"/>
      <name val="Calibri"/>
      <family val="2"/>
    </font>
    <font>
      <sz val="12"/>
      <name val="Courier"/>
      <family val="3"/>
    </font>
    <font>
      <b/>
      <sz val="11"/>
      <color indexed="63"/>
      <name val="Calibri"/>
      <family val="2"/>
    </font>
    <font>
      <sz val="11"/>
      <color indexed="10"/>
      <name val="Calibri"/>
      <family val="2"/>
    </font>
    <font>
      <b/>
      <sz val="18"/>
      <color indexed="56"/>
      <name val="Cambria"/>
      <family val="2"/>
    </font>
    <font>
      <b/>
      <sz val="11"/>
      <color indexed="8"/>
      <name val="Calibri"/>
      <family val="2"/>
    </font>
    <font>
      <sz val="10"/>
      <color indexed="8"/>
      <name val="Arial"/>
      <family val="2"/>
    </font>
    <font>
      <sz val="8"/>
      <name val="Montserrat"/>
    </font>
    <font>
      <sz val="16"/>
      <color theme="1"/>
      <name val="Montserrat Medium"/>
    </font>
    <font>
      <b/>
      <sz val="16"/>
      <color theme="1"/>
      <name val="Montserrat Medium"/>
    </font>
    <font>
      <sz val="11"/>
      <color theme="1"/>
      <name val="Montserrat Medium"/>
    </font>
    <font>
      <b/>
      <sz val="14"/>
      <name val="Montserrat Medium"/>
    </font>
    <font>
      <b/>
      <vertAlign val="subscript"/>
      <sz val="14"/>
      <name val="Montserrat Medium"/>
    </font>
    <font>
      <b/>
      <sz val="10"/>
      <name val="Montserrat Medium"/>
    </font>
    <font>
      <b/>
      <sz val="16"/>
      <name val="Montserrat Medium"/>
    </font>
    <font>
      <b/>
      <sz val="12"/>
      <name val="Montserrat Medium"/>
    </font>
    <font>
      <sz val="8"/>
      <name val="Montserrat Medium"/>
    </font>
    <font>
      <vertAlign val="subscript"/>
      <sz val="8"/>
      <name val="Montserrat Medium"/>
    </font>
    <font>
      <vertAlign val="subscript"/>
      <sz val="11"/>
      <color theme="1"/>
      <name val="Montserrat Medium"/>
    </font>
    <font>
      <b/>
      <sz val="8"/>
      <name val="Montserrat Medium"/>
    </font>
    <font>
      <b/>
      <vertAlign val="subscript"/>
      <sz val="10"/>
      <name val="Montserrat Medium"/>
    </font>
    <font>
      <b/>
      <sz val="8"/>
      <color indexed="12"/>
      <name val="Montserrat Medium"/>
    </font>
    <font>
      <b/>
      <sz val="8"/>
      <color rgb="FF0000FF"/>
      <name val="Montserrat Medium"/>
    </font>
    <font>
      <b/>
      <sz val="8"/>
      <color theme="1"/>
      <name val="Montserrat Medium"/>
    </font>
    <font>
      <sz val="8"/>
      <color theme="1"/>
      <name val="Montserrat Medium"/>
    </font>
    <font>
      <i/>
      <sz val="8"/>
      <name val="Montserrat Medium"/>
    </font>
    <font>
      <b/>
      <vertAlign val="subscript"/>
      <sz val="8"/>
      <name val="Montserrat Medium"/>
    </font>
    <font>
      <b/>
      <vertAlign val="superscript"/>
      <sz val="8"/>
      <name val="Montserrat Medium"/>
    </font>
    <font>
      <b/>
      <vertAlign val="superscript"/>
      <sz val="10"/>
      <name val="Montserrat Medium"/>
    </font>
    <font>
      <b/>
      <sz val="14"/>
      <color theme="1"/>
      <name val="Montserrat Medium"/>
    </font>
    <font>
      <i/>
      <sz val="11"/>
      <color theme="1"/>
      <name val="Montserrat Medium"/>
    </font>
    <font>
      <b/>
      <vertAlign val="superscript"/>
      <sz val="12"/>
      <name val="Montserrat Medium"/>
    </font>
  </fonts>
  <fills count="65">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8" tint="0.79998168889431442"/>
        <bgColor indexed="64"/>
      </patternFill>
    </fill>
    <fill>
      <patternFill patternType="solid">
        <fgColor indexed="44"/>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bgColor indexed="64"/>
      </patternFill>
    </fill>
  </fills>
  <borders count="62">
    <border>
      <left/>
      <right/>
      <top/>
      <bottom/>
      <diagonal/>
    </border>
    <border>
      <left/>
      <right style="medium">
        <color auto="1"/>
      </right>
      <top style="medium">
        <color auto="1"/>
      </top>
      <bottom/>
      <diagonal/>
    </border>
    <border>
      <left/>
      <right style="medium">
        <color auto="1"/>
      </right>
      <top/>
      <bottom/>
      <diagonal/>
    </border>
    <border>
      <left style="medium">
        <color auto="1"/>
      </left>
      <right style="medium">
        <color indexed="64"/>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hair">
        <color auto="1"/>
      </bottom>
      <diagonal/>
    </border>
    <border>
      <left/>
      <right style="hair">
        <color auto="1"/>
      </right>
      <top style="medium">
        <color indexed="64"/>
      </top>
      <bottom style="hair">
        <color auto="1"/>
      </bottom>
      <diagonal/>
    </border>
    <border>
      <left/>
      <right style="medium">
        <color indexed="64"/>
      </right>
      <top style="medium">
        <color indexed="64"/>
      </top>
      <bottom style="hair">
        <color auto="1"/>
      </bottom>
      <diagonal/>
    </border>
    <border>
      <left style="medium">
        <color auto="1"/>
      </left>
      <right style="medium">
        <color auto="1"/>
      </right>
      <top/>
      <bottom style="hair">
        <color auto="1"/>
      </bottom>
      <diagonal/>
    </border>
    <border>
      <left style="hair">
        <color auto="1"/>
      </left>
      <right style="hair">
        <color auto="1"/>
      </right>
      <top style="hair">
        <color auto="1"/>
      </top>
      <bottom style="hair">
        <color auto="1"/>
      </bottom>
      <diagonal/>
    </border>
    <border>
      <left/>
      <right style="hair">
        <color auto="1"/>
      </right>
      <top/>
      <bottom/>
      <diagonal/>
    </border>
    <border>
      <left/>
      <right style="hair">
        <color auto="1"/>
      </right>
      <top/>
      <bottom style="hair">
        <color auto="1"/>
      </bottom>
      <diagonal/>
    </border>
    <border>
      <left/>
      <right style="medium">
        <color auto="1"/>
      </right>
      <top/>
      <bottom style="hair">
        <color auto="1"/>
      </bottom>
      <diagonal/>
    </border>
    <border>
      <left style="medium">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indexed="64"/>
      </right>
      <top style="hair">
        <color indexed="64"/>
      </top>
      <bottom/>
      <diagonal/>
    </border>
    <border>
      <left/>
      <right style="hair">
        <color auto="1"/>
      </right>
      <top style="hair">
        <color auto="1"/>
      </top>
      <bottom style="hair">
        <color indexed="64"/>
      </bottom>
      <diagonal/>
    </border>
    <border>
      <left style="medium">
        <color auto="1"/>
      </left>
      <right style="medium">
        <color auto="1"/>
      </right>
      <top style="hair">
        <color auto="1"/>
      </top>
      <bottom style="medium">
        <color auto="1"/>
      </bottom>
      <diagonal/>
    </border>
    <border>
      <left style="medium">
        <color auto="1"/>
      </left>
      <right/>
      <top style="hair">
        <color auto="1"/>
      </top>
      <bottom/>
      <diagonal/>
    </border>
    <border>
      <left/>
      <right style="medium">
        <color auto="1"/>
      </right>
      <top style="medium">
        <color auto="1"/>
      </top>
      <bottom style="medium">
        <color auto="1"/>
      </bottom>
      <diagonal/>
    </border>
    <border>
      <left style="hair">
        <color auto="1"/>
      </left>
      <right style="hair">
        <color auto="1"/>
      </right>
      <top style="hair">
        <color auto="1"/>
      </top>
      <bottom style="medium">
        <color indexed="64"/>
      </bottom>
      <diagonal/>
    </border>
    <border>
      <left/>
      <right style="hair">
        <color indexed="64"/>
      </right>
      <top style="medium">
        <color auto="1"/>
      </top>
      <bottom/>
      <diagonal/>
    </border>
    <border>
      <left/>
      <right/>
      <top style="hair">
        <color indexed="64"/>
      </top>
      <bottom/>
      <diagonal/>
    </border>
    <border>
      <left style="medium">
        <color auto="1"/>
      </left>
      <right/>
      <top style="hair">
        <color auto="1"/>
      </top>
      <bottom style="hair">
        <color auto="1"/>
      </bottom>
      <diagonal/>
    </border>
    <border>
      <left/>
      <right style="hair">
        <color auto="1"/>
      </right>
      <top style="hair">
        <color auto="1"/>
      </top>
      <bottom/>
      <diagonal/>
    </border>
    <border>
      <left style="medium">
        <color indexed="64"/>
      </left>
      <right/>
      <top style="medium">
        <color indexed="64"/>
      </top>
      <bottom style="hair">
        <color auto="1"/>
      </bottom>
      <diagonal/>
    </border>
    <border>
      <left style="medium">
        <color auto="1"/>
      </left>
      <right/>
      <top style="medium">
        <color auto="1"/>
      </top>
      <bottom/>
      <diagonal/>
    </border>
    <border>
      <left/>
      <right/>
      <top style="medium">
        <color indexed="64"/>
      </top>
      <bottom style="medium">
        <color indexed="64"/>
      </bottom>
      <diagonal/>
    </border>
    <border>
      <left/>
      <right/>
      <top style="medium">
        <color indexed="64"/>
      </top>
      <bottom/>
      <diagonal/>
    </border>
    <border>
      <left/>
      <right/>
      <top style="hair">
        <color auto="1"/>
      </top>
      <bottom style="hair">
        <color indexed="64"/>
      </bottom>
      <diagonal/>
    </border>
    <border>
      <left/>
      <right/>
      <top style="medium">
        <color indexed="64"/>
      </top>
      <bottom style="hair">
        <color auto="1"/>
      </bottom>
      <diagonal/>
    </border>
    <border>
      <left/>
      <right/>
      <top/>
      <bottom style="hair">
        <color auto="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medium">
        <color auto="1"/>
      </left>
      <right style="medium">
        <color indexed="64"/>
      </right>
      <top/>
      <bottom style="medium">
        <color indexed="64"/>
      </bottom>
      <diagonal/>
    </border>
    <border>
      <left style="hair">
        <color auto="1"/>
      </left>
      <right/>
      <top style="hair">
        <color indexed="64"/>
      </top>
      <bottom style="medium">
        <color auto="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medium">
        <color indexed="64"/>
      </right>
      <top style="hair">
        <color indexed="64"/>
      </top>
      <bottom style="hair">
        <color indexed="64"/>
      </bottom>
      <diagonal/>
    </border>
  </borders>
  <cellStyleXfs count="1851">
    <xf numFmtId="0" fontId="0" fillId="0" borderId="0"/>
    <xf numFmtId="166" fontId="3" fillId="0" borderId="0"/>
    <xf numFmtId="0" fontId="4" fillId="0" borderId="0"/>
    <xf numFmtId="43" fontId="5" fillId="0" borderId="0" applyFont="0" applyFill="0" applyBorder="0" applyAlignment="0" applyProtection="0"/>
    <xf numFmtId="0" fontId="4" fillId="0" borderId="0"/>
    <xf numFmtId="43"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166" fontId="6" fillId="0" borderId="0"/>
    <xf numFmtId="43" fontId="4" fillId="0" borderId="0" applyFont="0" applyFill="0" applyBorder="0" applyAlignment="0" applyProtection="0"/>
    <xf numFmtId="9" fontId="4" fillId="0" borderId="0" applyFont="0" applyFill="0" applyBorder="0" applyAlignment="0" applyProtection="0"/>
    <xf numFmtId="0" fontId="9" fillId="0" borderId="34" applyNumberFormat="0" applyFill="0" applyAlignment="0" applyProtection="0"/>
    <xf numFmtId="0" fontId="10" fillId="0" borderId="35" applyNumberFormat="0" applyFill="0" applyAlignment="0" applyProtection="0"/>
    <xf numFmtId="0" fontId="12" fillId="11" borderId="0" applyNumberFormat="0" applyBorder="0" applyAlignment="0" applyProtection="0"/>
    <xf numFmtId="0" fontId="13" fillId="12" borderId="0" applyNumberFormat="0" applyBorder="0" applyAlignment="0" applyProtection="0"/>
    <xf numFmtId="0" fontId="14" fillId="13" borderId="37" applyNumberFormat="0" applyAlignment="0" applyProtection="0"/>
    <xf numFmtId="0" fontId="15" fillId="13" borderId="36" applyNumberFormat="0" applyAlignment="0" applyProtection="0"/>
    <xf numFmtId="0" fontId="17" fillId="0" borderId="0" applyNumberFormat="0" applyFill="0" applyBorder="0" applyAlignment="0" applyProtection="0"/>
    <xf numFmtId="0" fontId="7" fillId="0" borderId="39" applyNumberFormat="0" applyFill="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0" fillId="0" borderId="0" applyNumberFormat="0" applyFill="0" applyBorder="0" applyAlignment="0" applyProtection="0">
      <alignment vertical="top"/>
      <protection locked="0"/>
    </xf>
    <xf numFmtId="0" fontId="4" fillId="0" borderId="0"/>
    <xf numFmtId="0" fontId="19" fillId="0" borderId="0" applyNumberForma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xf numFmtId="0" fontId="26" fillId="0" borderId="0"/>
    <xf numFmtId="9" fontId="26" fillId="0" borderId="0" applyFont="0" applyFill="0" applyBorder="0" applyAlignment="0" applyProtection="0"/>
    <xf numFmtId="166" fontId="6" fillId="0" borderId="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0" fontId="4" fillId="0" borderId="0"/>
    <xf numFmtId="170" fontId="3" fillId="0" borderId="0" applyFill="0" applyBorder="0" applyAlignment="0" applyProtection="0">
      <alignment horizontal="right"/>
      <protection locked="0"/>
    </xf>
    <xf numFmtId="171" fontId="24" fillId="0" borderId="0" applyFill="0" applyBorder="0" applyAlignment="0" applyProtection="0">
      <alignment horizontal="right"/>
      <protection locked="0"/>
    </xf>
    <xf numFmtId="171" fontId="24" fillId="0" borderId="0" applyFill="0" applyBorder="0" applyAlignment="0" applyProtection="0">
      <alignment horizontal="right"/>
      <protection locked="0"/>
    </xf>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3" fontId="3" fillId="0" borderId="0" applyFill="0" applyBorder="0" applyAlignment="0" applyProtection="0">
      <alignment horizontal="right"/>
    </xf>
    <xf numFmtId="173" fontId="3" fillId="0" borderId="0" applyFill="0" applyBorder="0" applyAlignment="0" applyProtection="0">
      <alignment horizontal="right"/>
    </xf>
    <xf numFmtId="173" fontId="3" fillId="0" borderId="0" applyFill="0" applyBorder="0" applyAlignment="0" applyProtection="0">
      <alignment horizontal="right"/>
    </xf>
    <xf numFmtId="0" fontId="1" fillId="0" borderId="0" applyNumberFormat="0" applyFill="0" applyBorder="0" applyAlignment="0" applyProtection="0">
      <alignment horizontal="left" vertical="center"/>
    </xf>
    <xf numFmtId="0" fontId="1" fillId="0" borderId="0" applyNumberFormat="0" applyFill="0" applyBorder="0" applyAlignment="0" applyProtection="0">
      <alignment horizontal="left" vertical="center"/>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174" fontId="3" fillId="0" borderId="0" applyFon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9" fillId="0" borderId="0" applyNumberFormat="0" applyFill="0" applyBorder="0" applyAlignment="0" applyProtection="0"/>
    <xf numFmtId="0" fontId="34" fillId="0" borderId="40" applyNumberFormat="0" applyFill="0" applyAlignment="0" applyProtection="0">
      <alignment vertical="top"/>
      <protection locked="0"/>
    </xf>
    <xf numFmtId="0" fontId="34" fillId="0" borderId="41" applyNumberFormat="0" applyFill="0" applyAlignment="0" applyProtection="0">
      <alignment vertical="top"/>
      <protection locked="0"/>
    </xf>
    <xf numFmtId="0" fontId="34" fillId="0" borderId="0" applyNumberFormat="0" applyFill="0" applyAlignment="0" applyProtection="0"/>
    <xf numFmtId="164" fontId="3" fillId="0" borderId="0" applyFont="0" applyFill="0" applyBorder="0" applyAlignment="0" applyProtection="0"/>
    <xf numFmtId="164"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2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3" fillId="0" borderId="0"/>
    <xf numFmtId="0" fontId="3" fillId="0" borderId="0"/>
    <xf numFmtId="0" fontId="3" fillId="0" borderId="0"/>
    <xf numFmtId="0" fontId="24" fillId="0" borderId="0"/>
    <xf numFmtId="0" fontId="29" fillId="0" borderId="0"/>
    <xf numFmtId="0" fontId="24" fillId="0" borderId="0"/>
    <xf numFmtId="0" fontId="3"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2"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4" fillId="0" borderId="0"/>
    <xf numFmtId="0" fontId="29"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5" fillId="0" borderId="0"/>
    <xf numFmtId="0" fontId="37" fillId="0" borderId="0"/>
    <xf numFmtId="0" fontId="4" fillId="0" borderId="0"/>
    <xf numFmtId="0" fontId="4" fillId="0" borderId="0"/>
    <xf numFmtId="0" fontId="4" fillId="0" borderId="0"/>
    <xf numFmtId="0" fontId="3"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24" fillId="0" borderId="0" applyNumberFormat="0" applyFill="0" applyBorder="0" applyProtection="0">
      <alignment horizontal="right" vertical="top"/>
      <protection locked="0"/>
    </xf>
    <xf numFmtId="0" fontId="24" fillId="0" borderId="0" applyNumberFormat="0" applyFill="0" applyBorder="0" applyProtection="0">
      <alignment horizontal="right" vertical="top"/>
      <protection locked="0"/>
    </xf>
    <xf numFmtId="0" fontId="31" fillId="0" borderId="0" applyNumberFormat="0" applyFill="0" applyBorder="0" applyAlignment="0" applyProtection="0">
      <alignment vertical="top"/>
      <protection locked="0"/>
    </xf>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applyProtection="0"/>
    <xf numFmtId="0" fontId="3" fillId="0" borderId="0" applyProtection="0"/>
    <xf numFmtId="0" fontId="38" fillId="0" borderId="0" applyNumberFormat="0" applyFill="0" applyBorder="0" applyAlignment="0" applyProtection="0">
      <alignment horizontal="left" vertical="top"/>
    </xf>
    <xf numFmtId="0" fontId="38" fillId="0" borderId="0" applyNumberFormat="0" applyFill="0" applyBorder="0" applyAlignment="0" applyProtection="0">
      <alignment horizontal="left" vertical="top"/>
    </xf>
    <xf numFmtId="0" fontId="8" fillId="0" borderId="0" applyNumberFormat="0" applyFill="0" applyBorder="0" applyAlignment="0" applyProtection="0"/>
    <xf numFmtId="0" fontId="21" fillId="0" borderId="0"/>
    <xf numFmtId="9" fontId="21" fillId="0" borderId="0" applyFont="0" applyFill="0" applyBorder="0" applyAlignment="0" applyProtection="0"/>
    <xf numFmtId="0" fontId="19" fillId="0" borderId="0" applyNumberForma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166"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2" fillId="0" borderId="0" applyNumberFormat="0" applyFill="0" applyBorder="0" applyAlignment="0" applyProtection="0"/>
    <xf numFmtId="0" fontId="20" fillId="0" borderId="0" applyNumberFormat="0" applyFill="0" applyBorder="0" applyAlignment="0" applyProtection="0">
      <alignment vertical="top"/>
      <protection locked="0"/>
    </xf>
    <xf numFmtId="0" fontId="3" fillId="0" borderId="0"/>
    <xf numFmtId="0" fontId="21" fillId="0" borderId="0"/>
    <xf numFmtId="43" fontId="21" fillId="0" borderId="0" applyFont="0" applyFill="0" applyBorder="0" applyAlignment="0" applyProtection="0"/>
    <xf numFmtId="0" fontId="21" fillId="0" borderId="0"/>
    <xf numFmtId="0" fontId="40" fillId="0" borderId="0"/>
    <xf numFmtId="0" fontId="43" fillId="0" borderId="0"/>
    <xf numFmtId="9" fontId="4" fillId="0" borderId="0" applyFont="0" applyFill="0" applyBorder="0" applyAlignment="0" applyProtection="0"/>
    <xf numFmtId="0" fontId="3" fillId="0" borderId="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43" fontId="3" fillId="0" borderId="0" applyFont="0" applyFill="0" applyBorder="0" applyAlignment="0" applyProtection="0"/>
    <xf numFmtId="0" fontId="4" fillId="0" borderId="0"/>
    <xf numFmtId="0" fontId="3" fillId="0" borderId="0" applyNumberFormat="0" applyFill="0" applyBorder="0" applyAlignment="0" applyProtection="0"/>
    <xf numFmtId="0" fontId="5" fillId="39"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45" fillId="49"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49" fillId="58" borderId="43" applyNumberFormat="0" applyAlignment="0" applyProtection="0"/>
    <xf numFmtId="176" fontId="51" fillId="0" borderId="0">
      <protection locked="0"/>
    </xf>
    <xf numFmtId="177" fontId="51" fillId="0" borderId="0">
      <protection locked="0"/>
    </xf>
    <xf numFmtId="178" fontId="51" fillId="0" borderId="0">
      <protection locked="0"/>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5" fillId="53" borderId="0" applyNumberFormat="0" applyBorder="0" applyAlignment="0" applyProtection="0"/>
    <xf numFmtId="0" fontId="18" fillId="15" borderId="0" applyNumberFormat="0" applyBorder="0" applyAlignment="0" applyProtection="0"/>
    <xf numFmtId="0" fontId="45" fillId="5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4" fillId="0" borderId="0"/>
    <xf numFmtId="179" fontId="56" fillId="0" borderId="0">
      <protection locked="0"/>
    </xf>
    <xf numFmtId="179" fontId="56" fillId="0" borderId="0">
      <protection locked="0"/>
    </xf>
    <xf numFmtId="179" fontId="56" fillId="0" borderId="0">
      <protection locked="0"/>
    </xf>
    <xf numFmtId="179" fontId="56" fillId="0" borderId="0">
      <protection locked="0"/>
    </xf>
    <xf numFmtId="179" fontId="56" fillId="0" borderId="0">
      <protection locked="0"/>
    </xf>
    <xf numFmtId="179" fontId="56" fillId="0" borderId="0">
      <protection locked="0"/>
    </xf>
    <xf numFmtId="179" fontId="56" fillId="0" borderId="0">
      <protection locked="0"/>
    </xf>
    <xf numFmtId="180" fontId="51" fillId="0" borderId="0">
      <protection locked="0"/>
    </xf>
    <xf numFmtId="0" fontId="47" fillId="41" borderId="0" applyNumberFormat="0" applyBorder="0" applyAlignment="0" applyProtection="0"/>
    <xf numFmtId="0" fontId="57" fillId="0" borderId="45" applyNumberFormat="0" applyFill="0" applyAlignment="0" applyProtection="0"/>
    <xf numFmtId="0" fontId="52" fillId="0" borderId="0" applyNumberFormat="0" applyFill="0" applyBorder="0" applyAlignment="0" applyProtection="0"/>
    <xf numFmtId="179" fontId="59" fillId="0" borderId="0">
      <protection locked="0"/>
    </xf>
    <xf numFmtId="179" fontId="59" fillId="0" borderId="0">
      <protection locked="0"/>
    </xf>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53" fillId="44" borderId="42" applyNumberFormat="0" applyAlignment="0" applyProtection="0"/>
    <xf numFmtId="0" fontId="50" fillId="0" borderId="44" applyNumberFormat="0" applyFill="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3" fillId="0" borderId="0"/>
    <xf numFmtId="0" fontId="42"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62" fillId="0" borderId="0"/>
    <xf numFmtId="0" fontId="3" fillId="0" borderId="0"/>
    <xf numFmtId="0" fontId="3" fillId="0" borderId="0"/>
    <xf numFmtId="0" fontId="3" fillId="0" borderId="0"/>
    <xf numFmtId="0" fontId="3" fillId="0" borderId="0"/>
    <xf numFmtId="0" fontId="3" fillId="0" borderId="0"/>
    <xf numFmtId="0" fontId="39" fillId="0" borderId="0"/>
    <xf numFmtId="0" fontId="39" fillId="0" borderId="0"/>
    <xf numFmtId="0" fontId="4" fillId="0" borderId="0"/>
    <xf numFmtId="0" fontId="3" fillId="0" borderId="0"/>
    <xf numFmtId="0" fontId="39" fillId="0" borderId="0"/>
    <xf numFmtId="0" fontId="3"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0" fillId="60" borderId="48" applyNumberFormat="0" applyFont="0" applyAlignment="0" applyProtection="0"/>
    <xf numFmtId="9" fontId="5"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65" fillId="0" borderId="0" applyNumberFormat="0" applyFill="0" applyBorder="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4" fillId="0" borderId="0" applyNumberFormat="0" applyFill="0" applyBorder="0" applyAlignment="0" applyProtection="0"/>
    <xf numFmtId="0" fontId="4" fillId="0" borderId="0"/>
    <xf numFmtId="0" fontId="27" fillId="0" borderId="0"/>
    <xf numFmtId="0" fontId="42"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xf numFmtId="0" fontId="53" fillId="44" borderId="42" applyNumberFormat="0" applyAlignment="0" applyProtection="0"/>
    <xf numFmtId="0" fontId="63" fillId="57" borderId="49" applyNumberFormat="0" applyAlignment="0" applyProtection="0"/>
    <xf numFmtId="0" fontId="60" fillId="60" borderId="48" applyNumberFormat="0" applyFont="0" applyAlignment="0" applyProtection="0"/>
    <xf numFmtId="0" fontId="67" fillId="0" borderId="0"/>
    <xf numFmtId="0" fontId="4" fillId="0" borderId="0"/>
    <xf numFmtId="0" fontId="4" fillId="0" borderId="0"/>
    <xf numFmtId="0" fontId="53" fillId="44" borderId="42" applyNumberFormat="0" applyAlignment="0" applyProtection="0"/>
    <xf numFmtId="0" fontId="48" fillId="57" borderId="42" applyNumberFormat="0" applyAlignment="0" applyProtection="0"/>
    <xf numFmtId="174" fontId="67" fillId="0" borderId="0" applyFont="0" applyFill="0" applyBorder="0" applyAlignment="0" applyProtection="0"/>
    <xf numFmtId="43" fontId="3"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3" fillId="0" borderId="0"/>
    <xf numFmtId="169"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4"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9" fontId="44"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4" fillId="0" borderId="0"/>
    <xf numFmtId="43" fontId="4" fillId="0" borderId="0" applyFont="0" applyFill="0" applyBorder="0" applyAlignment="0" applyProtection="0"/>
    <xf numFmtId="0" fontId="63" fillId="57" borderId="49" applyNumberFormat="0" applyAlignment="0" applyProtection="0"/>
    <xf numFmtId="0" fontId="60" fillId="60" borderId="48" applyNumberFormat="0" applyFont="0" applyAlignment="0" applyProtection="0"/>
    <xf numFmtId="0" fontId="53" fillId="44" borderId="42" applyNumberFormat="0" applyAlignment="0" applyProtection="0"/>
    <xf numFmtId="0" fontId="48" fillId="57" borderId="42" applyNumberFormat="0" applyAlignment="0" applyProtection="0"/>
    <xf numFmtId="0" fontId="67"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8"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14" borderId="38" applyNumberFormat="0" applyFont="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63" fillId="57" borderId="49" applyNumberFormat="0" applyAlignment="0" applyProtection="0"/>
    <xf numFmtId="0" fontId="48" fillId="57" borderId="42" applyNumberFormat="0" applyAlignment="0" applyProtection="0"/>
    <xf numFmtId="0" fontId="60" fillId="60" borderId="48" applyNumberFormat="0" applyFont="0" applyAlignment="0" applyProtection="0"/>
    <xf numFmtId="0" fontId="4" fillId="0" borderId="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4" fillId="0" borderId="0"/>
    <xf numFmtId="175" fontId="4" fillId="0" borderId="0" applyFont="0" applyFill="0" applyBorder="0" applyAlignment="0" applyProtection="0"/>
    <xf numFmtId="0" fontId="21" fillId="0" borderId="0"/>
    <xf numFmtId="9" fontId="21"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4" fillId="14" borderId="38" applyNumberFormat="0" applyFont="0" applyAlignment="0" applyProtection="0"/>
    <xf numFmtId="0" fontId="17"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4" fillId="0" borderId="0"/>
    <xf numFmtId="0" fontId="21" fillId="0" borderId="0"/>
    <xf numFmtId="43" fontId="21" fillId="0" borderId="0" applyFont="0" applyFill="0" applyBorder="0" applyAlignment="0" applyProtection="0"/>
    <xf numFmtId="0" fontId="21" fillId="0" borderId="0"/>
    <xf numFmtId="0" fontId="40" fillId="0" borderId="0"/>
    <xf numFmtId="0" fontId="43" fillId="0" borderId="0"/>
    <xf numFmtId="0" fontId="4" fillId="0" borderId="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0" fontId="3" fillId="0" borderId="0"/>
    <xf numFmtId="175"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22" fillId="0" borderId="0" applyNumberForma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175"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34" fillId="0" borderId="51" applyNumberFormat="0" applyFill="0" applyAlignment="0" applyProtection="0">
      <alignment vertical="top"/>
      <protection locked="0"/>
    </xf>
    <xf numFmtId="0" fontId="21" fillId="0" borderId="0"/>
  </cellStyleXfs>
  <cellXfs count="189">
    <xf numFmtId="0" fontId="0" fillId="0" borderId="0" xfId="0"/>
    <xf numFmtId="165" fontId="77" fillId="8" borderId="58" xfId="0" applyNumberFormat="1" applyFont="1" applyFill="1" applyBorder="1" applyAlignment="1" applyProtection="1">
      <alignment horizontal="right" vertical="center"/>
      <protection locked="0"/>
    </xf>
    <xf numFmtId="165" fontId="77" fillId="8" borderId="52" xfId="0" applyNumberFormat="1" applyFont="1" applyFill="1" applyBorder="1" applyAlignment="1" applyProtection="1">
      <alignment horizontal="right" vertical="center"/>
      <protection locked="0"/>
    </xf>
    <xf numFmtId="0" fontId="76" fillId="4" borderId="57" xfId="0" applyFont="1" applyFill="1" applyBorder="1" applyAlignment="1">
      <alignment horizontal="center"/>
    </xf>
    <xf numFmtId="0" fontId="76" fillId="4" borderId="56" xfId="0" applyFont="1" applyFill="1" applyBorder="1" applyAlignment="1">
      <alignment horizontal="center"/>
    </xf>
    <xf numFmtId="0" fontId="75" fillId="4" borderId="55" xfId="0" applyFont="1" applyFill="1" applyBorder="1" applyAlignment="1">
      <alignment horizontal="center"/>
    </xf>
    <xf numFmtId="0" fontId="70" fillId="2" borderId="0" xfId="0" applyFont="1" applyFill="1" applyAlignment="1">
      <alignment vertical="center"/>
    </xf>
    <xf numFmtId="0" fontId="72" fillId="3" borderId="28" xfId="0" applyFont="1" applyFill="1" applyBorder="1" applyAlignment="1">
      <alignment horizontal="left"/>
    </xf>
    <xf numFmtId="0" fontId="74" fillId="3" borderId="30" xfId="0" applyFont="1" applyFill="1" applyBorder="1" applyAlignment="1">
      <alignment horizontal="left"/>
    </xf>
    <xf numFmtId="0" fontId="74" fillId="3" borderId="1" xfId="0" applyFont="1" applyFill="1" applyBorder="1" applyAlignment="1">
      <alignment horizontal="left"/>
    </xf>
    <xf numFmtId="0" fontId="71" fillId="0" borderId="6" xfId="0" applyFont="1" applyBorder="1" applyAlignment="1">
      <alignment horizontal="center" vertical="center"/>
    </xf>
    <xf numFmtId="3" fontId="80" fillId="0" borderId="5" xfId="0" applyNumberFormat="1" applyFont="1" applyBorder="1" applyAlignment="1">
      <alignment vertical="center"/>
    </xf>
    <xf numFmtId="0" fontId="80" fillId="7" borderId="27" xfId="0" applyFont="1" applyFill="1" applyBorder="1" applyAlignment="1">
      <alignment wrapText="1"/>
    </xf>
    <xf numFmtId="0" fontId="80" fillId="0" borderId="25" xfId="0" applyFont="1" applyBorder="1" applyAlignment="1">
      <alignment wrapText="1"/>
    </xf>
    <xf numFmtId="0" fontId="80" fillId="0" borderId="25" xfId="0" applyFont="1" applyBorder="1" applyAlignment="1" applyProtection="1">
      <alignment wrapText="1"/>
      <protection locked="0"/>
    </xf>
    <xf numFmtId="0" fontId="80" fillId="7" borderId="27" xfId="0" applyFont="1" applyFill="1" applyBorder="1" applyAlignment="1">
      <alignment horizontal="left" wrapText="1"/>
    </xf>
    <xf numFmtId="0" fontId="80" fillId="9" borderId="4" xfId="0" applyFont="1" applyFill="1" applyBorder="1" applyAlignment="1">
      <alignment horizontal="left" wrapText="1"/>
    </xf>
    <xf numFmtId="167" fontId="71" fillId="0" borderId="0" xfId="0" applyNumberFormat="1" applyFont="1" applyAlignment="1">
      <alignment horizontal="right"/>
    </xf>
    <xf numFmtId="0" fontId="74" fillId="0" borderId="0" xfId="0" applyFont="1" applyAlignment="1">
      <alignment horizontal="left"/>
    </xf>
    <xf numFmtId="0" fontId="76" fillId="0" borderId="0" xfId="0" applyFont="1" applyAlignment="1">
      <alignment horizontal="center"/>
    </xf>
    <xf numFmtId="0" fontId="80" fillId="0" borderId="25" xfId="0" applyFont="1" applyBorder="1" applyAlignment="1">
      <alignment horizontal="left" wrapText="1"/>
    </xf>
    <xf numFmtId="0" fontId="77" fillId="0" borderId="25" xfId="0" applyFont="1" applyBorder="1" applyAlignment="1" applyProtection="1">
      <alignment horizontal="left" wrapText="1"/>
      <protection locked="0"/>
    </xf>
    <xf numFmtId="0" fontId="77" fillId="0" borderId="25" xfId="0" applyFont="1" applyBorder="1" applyAlignment="1">
      <alignment horizontal="left" wrapText="1"/>
    </xf>
    <xf numFmtId="0" fontId="77" fillId="0" borderId="20" xfId="0" applyFont="1" applyBorder="1" applyAlignment="1">
      <alignment horizontal="left" wrapText="1"/>
    </xf>
    <xf numFmtId="0" fontId="80" fillId="0" borderId="25" xfId="0" applyFont="1" applyBorder="1" applyAlignment="1" applyProtection="1">
      <alignment horizontal="left" wrapText="1"/>
      <protection locked="0"/>
    </xf>
    <xf numFmtId="0" fontId="77" fillId="0" borderId="15" xfId="0" applyFont="1" applyBorder="1" applyAlignment="1" applyProtection="1">
      <alignment horizontal="left" wrapText="1"/>
      <protection locked="0"/>
    </xf>
    <xf numFmtId="0" fontId="77" fillId="0" borderId="19" xfId="0" applyFont="1" applyBorder="1" applyAlignment="1" applyProtection="1">
      <alignment horizontal="left" wrapText="1"/>
      <protection locked="0"/>
    </xf>
    <xf numFmtId="0" fontId="71" fillId="0" borderId="0" xfId="0" applyFont="1"/>
    <xf numFmtId="0" fontId="77" fillId="0" borderId="5" xfId="0" applyFont="1" applyBorder="1" applyAlignment="1">
      <alignment horizontal="center" vertical="center"/>
    </xf>
    <xf numFmtId="3" fontId="77" fillId="0" borderId="5" xfId="0" applyNumberFormat="1" applyFont="1" applyBorder="1" applyAlignment="1">
      <alignment horizontal="center" vertical="center"/>
    </xf>
    <xf numFmtId="3" fontId="71" fillId="0" borderId="0" xfId="0" applyNumberFormat="1" applyFont="1"/>
    <xf numFmtId="165" fontId="80" fillId="6" borderId="5" xfId="0" applyNumberFormat="1" applyFont="1" applyFill="1" applyBorder="1" applyAlignment="1">
      <alignment horizontal="center" vertical="center"/>
    </xf>
    <xf numFmtId="0" fontId="80" fillId="7" borderId="27" xfId="0" applyFont="1" applyFill="1" applyBorder="1"/>
    <xf numFmtId="165" fontId="82" fillId="7" borderId="7" xfId="0" applyNumberFormat="1" applyFont="1" applyFill="1" applyBorder="1" applyAlignment="1">
      <alignment horizontal="right" vertical="center"/>
    </xf>
    <xf numFmtId="165" fontId="83" fillId="7" borderId="8" xfId="0" applyNumberFormat="1" applyFont="1" applyFill="1" applyBorder="1" applyAlignment="1">
      <alignment horizontal="right" vertical="center"/>
    </xf>
    <xf numFmtId="165" fontId="83" fillId="7" borderId="9" xfId="0" applyNumberFormat="1" applyFont="1" applyFill="1" applyBorder="1" applyAlignment="1">
      <alignment horizontal="right" vertical="center"/>
    </xf>
    <xf numFmtId="165" fontId="84" fillId="7" borderId="7" xfId="0" applyNumberFormat="1" applyFont="1" applyFill="1" applyBorder="1" applyAlignment="1">
      <alignment horizontal="right" vertical="center"/>
    </xf>
    <xf numFmtId="165" fontId="80" fillId="0" borderId="10" xfId="0" applyNumberFormat="1" applyFont="1" applyBorder="1" applyAlignment="1">
      <alignment horizontal="right" vertical="center"/>
    </xf>
    <xf numFmtId="165" fontId="80" fillId="8" borderId="12" xfId="0" applyNumberFormat="1" applyFont="1" applyFill="1" applyBorder="1" applyAlignment="1">
      <alignment horizontal="right" vertical="center"/>
    </xf>
    <xf numFmtId="165" fontId="80" fillId="8" borderId="13" xfId="0" applyNumberFormat="1" applyFont="1" applyFill="1" applyBorder="1" applyAlignment="1">
      <alignment horizontal="right" vertical="center"/>
    </xf>
    <xf numFmtId="165" fontId="80" fillId="8" borderId="14" xfId="0" applyNumberFormat="1" applyFont="1" applyFill="1" applyBorder="1" applyAlignment="1">
      <alignment horizontal="right" vertical="center"/>
    </xf>
    <xf numFmtId="165" fontId="71" fillId="0" borderId="0" xfId="0" applyNumberFormat="1" applyFont="1"/>
    <xf numFmtId="165" fontId="80" fillId="8" borderId="18" xfId="0" applyNumberFormat="1" applyFont="1" applyFill="1" applyBorder="1" applyAlignment="1">
      <alignment horizontal="right" vertical="center"/>
    </xf>
    <xf numFmtId="165" fontId="80" fillId="8" borderId="11" xfId="0" applyNumberFormat="1" applyFont="1" applyFill="1" applyBorder="1" applyAlignment="1">
      <alignment horizontal="right" vertical="center"/>
    </xf>
    <xf numFmtId="165" fontId="77" fillId="0" borderId="15" xfId="0" applyNumberFormat="1" applyFont="1" applyBorder="1" applyAlignment="1">
      <alignment horizontal="right" vertical="center"/>
    </xf>
    <xf numFmtId="165" fontId="77" fillId="8" borderId="18" xfId="0" applyNumberFormat="1" applyFont="1" applyFill="1" applyBorder="1" applyAlignment="1" applyProtection="1">
      <alignment horizontal="right" vertical="center"/>
      <protection locked="0"/>
    </xf>
    <xf numFmtId="165" fontId="77" fillId="8" borderId="11" xfId="0" applyNumberFormat="1" applyFont="1" applyFill="1" applyBorder="1" applyAlignment="1" applyProtection="1">
      <alignment horizontal="right" vertical="center"/>
      <protection locked="0"/>
    </xf>
    <xf numFmtId="165" fontId="77" fillId="8" borderId="13" xfId="0" applyNumberFormat="1" applyFont="1" applyFill="1" applyBorder="1" applyAlignment="1" applyProtection="1">
      <alignment horizontal="right" vertical="center"/>
      <protection locked="0"/>
    </xf>
    <xf numFmtId="165" fontId="77" fillId="8" borderId="14" xfId="0" applyNumberFormat="1" applyFont="1" applyFill="1" applyBorder="1" applyAlignment="1" applyProtection="1">
      <alignment horizontal="right" vertical="center"/>
      <protection locked="0"/>
    </xf>
    <xf numFmtId="165" fontId="77" fillId="0" borderId="10" xfId="0" applyNumberFormat="1" applyFont="1" applyBorder="1" applyAlignment="1" applyProtection="1">
      <alignment horizontal="right" vertical="center"/>
      <protection locked="0"/>
    </xf>
    <xf numFmtId="165" fontId="77" fillId="8" borderId="13" xfId="0" applyNumberFormat="1" applyFont="1" applyFill="1" applyBorder="1" applyAlignment="1">
      <alignment horizontal="right" vertical="center"/>
    </xf>
    <xf numFmtId="165" fontId="77" fillId="8" borderId="14" xfId="0" applyNumberFormat="1" applyFont="1" applyFill="1" applyBorder="1" applyAlignment="1">
      <alignment horizontal="right" vertical="center"/>
    </xf>
    <xf numFmtId="165" fontId="77" fillId="0" borderId="10" xfId="0" applyNumberFormat="1" applyFont="1" applyBorder="1" applyAlignment="1">
      <alignment horizontal="right" vertical="center"/>
    </xf>
    <xf numFmtId="165" fontId="80" fillId="0" borderId="15" xfId="0" applyNumberFormat="1" applyFont="1" applyBorder="1" applyAlignment="1">
      <alignment horizontal="right" vertical="center"/>
    </xf>
    <xf numFmtId="165" fontId="77" fillId="0" borderId="3" xfId="0" applyNumberFormat="1" applyFont="1" applyBorder="1" applyAlignment="1" applyProtection="1">
      <alignment horizontal="right" vertical="center"/>
      <protection locked="0"/>
    </xf>
    <xf numFmtId="165" fontId="77" fillId="8" borderId="12" xfId="0" applyNumberFormat="1" applyFont="1" applyFill="1" applyBorder="1" applyAlignment="1" applyProtection="1">
      <alignment horizontal="right" vertical="center"/>
      <protection locked="0"/>
    </xf>
    <xf numFmtId="165" fontId="77" fillId="8" borderId="26" xfId="0" applyNumberFormat="1" applyFont="1" applyFill="1" applyBorder="1" applyAlignment="1" applyProtection="1">
      <alignment horizontal="right" vertical="center"/>
      <protection locked="0"/>
    </xf>
    <xf numFmtId="165" fontId="83" fillId="7" borderId="7" xfId="0" applyNumberFormat="1" applyFont="1" applyFill="1" applyBorder="1" applyAlignment="1">
      <alignment horizontal="right" vertical="center"/>
    </xf>
    <xf numFmtId="165" fontId="77" fillId="8" borderId="15" xfId="0" applyNumberFormat="1" applyFont="1" applyFill="1" applyBorder="1" applyAlignment="1" applyProtection="1">
      <alignment horizontal="right" vertical="center"/>
      <protection locked="0"/>
    </xf>
    <xf numFmtId="165" fontId="77" fillId="8" borderId="10" xfId="0" applyNumberFormat="1" applyFont="1" applyFill="1" applyBorder="1" applyAlignment="1" applyProtection="1">
      <alignment horizontal="right" vertical="center"/>
      <protection locked="0"/>
    </xf>
    <xf numFmtId="165" fontId="80" fillId="0" borderId="33" xfId="0" applyNumberFormat="1" applyFont="1" applyBorder="1" applyAlignment="1">
      <alignment horizontal="right" vertical="center"/>
    </xf>
    <xf numFmtId="165" fontId="80" fillId="8" borderId="13" xfId="0" applyNumberFormat="1" applyFont="1" applyFill="1" applyBorder="1" applyAlignment="1" applyProtection="1">
      <alignment horizontal="right" vertical="center"/>
      <protection locked="0"/>
    </xf>
    <xf numFmtId="165" fontId="80" fillId="0" borderId="10" xfId="0" applyNumberFormat="1" applyFont="1" applyBorder="1" applyAlignment="1" applyProtection="1">
      <alignment horizontal="right" vertical="center"/>
      <protection locked="0"/>
    </xf>
    <xf numFmtId="165" fontId="80" fillId="8" borderId="15" xfId="0" applyNumberFormat="1" applyFont="1" applyFill="1" applyBorder="1" applyAlignment="1" applyProtection="1">
      <alignment horizontal="right" vertical="center"/>
      <protection locked="0"/>
    </xf>
    <xf numFmtId="165" fontId="80" fillId="8" borderId="17" xfId="0" applyNumberFormat="1" applyFont="1" applyFill="1" applyBorder="1" applyAlignment="1" applyProtection="1">
      <alignment horizontal="right" vertical="center"/>
      <protection locked="0"/>
    </xf>
    <xf numFmtId="165" fontId="80" fillId="0" borderId="15" xfId="0" applyNumberFormat="1" applyFont="1" applyBorder="1" applyAlignment="1" applyProtection="1">
      <alignment horizontal="right" vertical="center"/>
      <protection locked="0"/>
    </xf>
    <xf numFmtId="165" fontId="80" fillId="0" borderId="0" xfId="0" applyNumberFormat="1" applyFont="1" applyAlignment="1" applyProtection="1">
      <alignment horizontal="right" vertical="center"/>
      <protection locked="0"/>
    </xf>
    <xf numFmtId="165" fontId="80" fillId="0" borderId="31" xfId="0" applyNumberFormat="1" applyFont="1" applyBorder="1" applyAlignment="1" applyProtection="1">
      <alignment horizontal="right" vertical="center"/>
      <protection locked="0"/>
    </xf>
    <xf numFmtId="165" fontId="80" fillId="0" borderId="17" xfId="0" applyNumberFormat="1" applyFont="1" applyBorder="1" applyAlignment="1" applyProtection="1">
      <alignment horizontal="right" vertical="center"/>
      <protection locked="0"/>
    </xf>
    <xf numFmtId="165" fontId="77" fillId="8" borderId="17" xfId="0" applyNumberFormat="1" applyFont="1" applyFill="1" applyBorder="1" applyAlignment="1" applyProtection="1">
      <alignment horizontal="right" vertical="center"/>
      <protection locked="0"/>
    </xf>
    <xf numFmtId="165" fontId="80" fillId="7" borderId="8" xfId="0" applyNumberFormat="1" applyFont="1" applyFill="1" applyBorder="1" applyAlignment="1">
      <alignment horizontal="right" vertical="center"/>
    </xf>
    <xf numFmtId="165" fontId="80" fillId="7" borderId="32" xfId="0" applyNumberFormat="1" applyFont="1" applyFill="1" applyBorder="1" applyAlignment="1">
      <alignment horizontal="right" vertical="center"/>
    </xf>
    <xf numFmtId="165" fontId="80" fillId="8" borderId="33" xfId="0" applyNumberFormat="1" applyFont="1" applyFill="1" applyBorder="1" applyAlignment="1">
      <alignment horizontal="right" vertical="center"/>
    </xf>
    <xf numFmtId="165" fontId="77" fillId="8" borderId="15" xfId="0" applyNumberFormat="1" applyFont="1" applyFill="1" applyBorder="1" applyAlignment="1">
      <alignment horizontal="right" vertical="center"/>
    </xf>
    <xf numFmtId="165" fontId="77" fillId="8" borderId="33" xfId="0" applyNumberFormat="1" applyFont="1" applyFill="1" applyBorder="1" applyAlignment="1">
      <alignment horizontal="right" vertical="center"/>
    </xf>
    <xf numFmtId="165" fontId="77" fillId="8" borderId="33" xfId="0" applyNumberFormat="1" applyFont="1" applyFill="1" applyBorder="1" applyAlignment="1" applyProtection="1">
      <alignment horizontal="right" vertical="center"/>
      <protection locked="0"/>
    </xf>
    <xf numFmtId="165" fontId="80" fillId="8" borderId="10" xfId="0" applyNumberFormat="1" applyFont="1" applyFill="1" applyBorder="1" applyAlignment="1">
      <alignment horizontal="right" vertical="center"/>
    </xf>
    <xf numFmtId="165" fontId="77" fillId="8" borderId="10" xfId="0" applyNumberFormat="1" applyFont="1" applyFill="1" applyBorder="1" applyAlignment="1">
      <alignment horizontal="right" vertical="center"/>
    </xf>
    <xf numFmtId="165" fontId="80" fillId="8" borderId="10" xfId="0" applyNumberFormat="1" applyFont="1" applyFill="1" applyBorder="1" applyAlignment="1" applyProtection="1">
      <alignment horizontal="right" vertical="center"/>
      <protection locked="0"/>
    </xf>
    <xf numFmtId="4" fontId="77" fillId="0" borderId="15" xfId="0" applyNumberFormat="1" applyFont="1" applyBorder="1" applyAlignment="1" applyProtection="1">
      <alignment horizontal="right" vertical="center"/>
      <protection locked="0"/>
    </xf>
    <xf numFmtId="165" fontId="80" fillId="8" borderId="33" xfId="0" applyNumberFormat="1" applyFont="1" applyFill="1" applyBorder="1" applyAlignment="1" applyProtection="1">
      <alignment horizontal="right" vertical="center"/>
      <protection locked="0"/>
    </xf>
    <xf numFmtId="4" fontId="82" fillId="7" borderId="7" xfId="0" applyNumberFormat="1" applyFont="1" applyFill="1" applyBorder="1" applyAlignment="1">
      <alignment horizontal="right" vertical="center"/>
    </xf>
    <xf numFmtId="165" fontId="80" fillId="5" borderId="21" xfId="0" applyNumberFormat="1" applyFont="1" applyFill="1" applyBorder="1" applyAlignment="1">
      <alignment horizontal="center" vertical="center"/>
    </xf>
    <xf numFmtId="165" fontId="80" fillId="5" borderId="4" xfId="0" applyNumberFormat="1" applyFont="1" applyFill="1" applyBorder="1" applyAlignment="1">
      <alignment horizontal="right" vertical="center"/>
    </xf>
    <xf numFmtId="165" fontId="80" fillId="8" borderId="8" xfId="0" applyNumberFormat="1" applyFont="1" applyFill="1" applyBorder="1" applyAlignment="1" applyProtection="1">
      <alignment horizontal="right" vertical="center"/>
      <protection locked="0"/>
    </xf>
    <xf numFmtId="165" fontId="80" fillId="8" borderId="9" xfId="0" applyNumberFormat="1" applyFont="1" applyFill="1" applyBorder="1" applyAlignment="1" applyProtection="1">
      <alignment horizontal="right" vertical="center"/>
      <protection locked="0"/>
    </xf>
    <xf numFmtId="165" fontId="77" fillId="8" borderId="22" xfId="0" applyNumberFormat="1" applyFont="1" applyFill="1" applyBorder="1" applyAlignment="1" applyProtection="1">
      <alignment horizontal="right" vertical="center"/>
      <protection locked="0"/>
    </xf>
    <xf numFmtId="165" fontId="80" fillId="8" borderId="5" xfId="1" applyNumberFormat="1" applyFont="1" applyFill="1" applyBorder="1" applyAlignment="1">
      <alignment horizontal="right" vertical="center"/>
    </xf>
    <xf numFmtId="0" fontId="77" fillId="0" borderId="0" xfId="0" applyFont="1" applyAlignment="1">
      <alignment horizontal="left"/>
    </xf>
    <xf numFmtId="0" fontId="71" fillId="0" borderId="23" xfId="0" applyFont="1" applyBorder="1"/>
    <xf numFmtId="0" fontId="71" fillId="0" borderId="24" xfId="0" applyFont="1" applyBorder="1"/>
    <xf numFmtId="0" fontId="77" fillId="0" borderId="0" xfId="0" applyFont="1" applyAlignment="1">
      <alignment horizontal="center" vertical="center"/>
    </xf>
    <xf numFmtId="3" fontId="77" fillId="0" borderId="0" xfId="0" applyNumberFormat="1" applyFont="1" applyAlignment="1">
      <alignment horizontal="center" vertical="center"/>
    </xf>
    <xf numFmtId="165" fontId="83" fillId="0" borderId="0" xfId="0" applyNumberFormat="1" applyFont="1" applyAlignment="1">
      <alignment horizontal="right" vertical="center"/>
    </xf>
    <xf numFmtId="165" fontId="80" fillId="7" borderId="8" xfId="0" applyNumberFormat="1" applyFont="1" applyFill="1" applyBorder="1" applyAlignment="1" applyProtection="1">
      <alignment horizontal="right" vertical="center"/>
      <protection locked="0"/>
    </xf>
    <xf numFmtId="0" fontId="69" fillId="0" borderId="0" xfId="0" applyFont="1"/>
    <xf numFmtId="0" fontId="69" fillId="2" borderId="0" xfId="0" applyFont="1" applyFill="1"/>
    <xf numFmtId="10" fontId="71" fillId="0" borderId="0" xfId="10" applyNumberFormat="1" applyFont="1" applyFill="1" applyBorder="1" applyAlignment="1"/>
    <xf numFmtId="0" fontId="68" fillId="0" borderId="25" xfId="0" applyFont="1" applyBorder="1" applyAlignment="1" applyProtection="1">
      <alignment horizontal="left" vertical="center" wrapText="1"/>
      <protection locked="0"/>
    </xf>
    <xf numFmtId="0" fontId="68" fillId="0" borderId="25" xfId="0" applyFont="1" applyBorder="1" applyAlignment="1" applyProtection="1">
      <alignment horizontal="left" vertical="center" wrapText="1" indent="1"/>
      <protection locked="0"/>
    </xf>
    <xf numFmtId="0" fontId="77" fillId="0" borderId="25" xfId="0" applyFont="1" applyBorder="1" applyAlignment="1" applyProtection="1">
      <alignment horizontal="left" wrapText="1" indent="1"/>
      <protection locked="0"/>
    </xf>
    <xf numFmtId="0" fontId="77" fillId="0" borderId="25" xfId="0" applyFont="1" applyBorder="1" applyAlignment="1">
      <alignment horizontal="left" wrapText="1" indent="1"/>
    </xf>
    <xf numFmtId="0" fontId="77" fillId="0" borderId="25" xfId="0" applyFont="1" applyBorder="1" applyAlignment="1" applyProtection="1">
      <alignment horizontal="left" vertical="center" wrapText="1" indent="1"/>
      <protection locked="0"/>
    </xf>
    <xf numFmtId="0" fontId="77" fillId="0" borderId="20" xfId="0" applyFont="1" applyBorder="1" applyAlignment="1" applyProtection="1">
      <alignment horizontal="left" wrapText="1" indent="1"/>
      <protection locked="0"/>
    </xf>
    <xf numFmtId="165" fontId="77" fillId="8" borderId="3" xfId="0" applyNumberFormat="1" applyFont="1" applyFill="1" applyBorder="1" applyAlignment="1" applyProtection="1">
      <alignment horizontal="right" vertical="center"/>
      <protection locked="0"/>
    </xf>
    <xf numFmtId="0" fontId="71" fillId="8" borderId="0" xfId="0" applyFont="1" applyFill="1"/>
    <xf numFmtId="165" fontId="80" fillId="8" borderId="31" xfId="0" applyNumberFormat="1" applyFont="1" applyFill="1" applyBorder="1" applyAlignment="1" applyProtection="1">
      <alignment horizontal="right" vertical="center"/>
      <protection locked="0"/>
    </xf>
    <xf numFmtId="165" fontId="77" fillId="8" borderId="31" xfId="0" applyNumberFormat="1" applyFont="1" applyFill="1" applyBorder="1" applyAlignment="1" applyProtection="1">
      <alignment horizontal="right" vertical="center"/>
      <protection locked="0"/>
    </xf>
    <xf numFmtId="165" fontId="77" fillId="8" borderId="19" xfId="0" applyNumberFormat="1" applyFont="1" applyFill="1" applyBorder="1" applyAlignment="1" applyProtection="1">
      <alignment horizontal="right" vertical="center"/>
      <protection locked="0"/>
    </xf>
    <xf numFmtId="165" fontId="85" fillId="8" borderId="17" xfId="0" applyNumberFormat="1" applyFont="1" applyFill="1" applyBorder="1" applyAlignment="1">
      <alignment horizontal="right"/>
    </xf>
    <xf numFmtId="168" fontId="80" fillId="0" borderId="0" xfId="10" applyNumberFormat="1" applyFont="1" applyFill="1" applyBorder="1" applyAlignment="1">
      <alignment horizontal="center" vertical="center"/>
    </xf>
    <xf numFmtId="165" fontId="85" fillId="8" borderId="15" xfId="0" applyNumberFormat="1" applyFont="1" applyFill="1" applyBorder="1" applyAlignment="1">
      <alignment horizontal="right"/>
    </xf>
    <xf numFmtId="165" fontId="85" fillId="8" borderId="3" xfId="0" applyNumberFormat="1" applyFont="1" applyFill="1" applyBorder="1" applyAlignment="1">
      <alignment horizontal="right"/>
    </xf>
    <xf numFmtId="4" fontId="77" fillId="8" borderId="15" xfId="0" applyNumberFormat="1" applyFont="1" applyFill="1" applyBorder="1" applyAlignment="1" applyProtection="1">
      <alignment horizontal="right" vertical="center"/>
      <protection locked="0"/>
    </xf>
    <xf numFmtId="41" fontId="86" fillId="8" borderId="10" xfId="0" applyNumberFormat="1" applyFont="1" applyFill="1" applyBorder="1" applyAlignment="1" applyProtection="1">
      <alignment horizontal="right" vertical="center"/>
      <protection locked="0"/>
    </xf>
    <xf numFmtId="4" fontId="77" fillId="8" borderId="10" xfId="0" applyNumberFormat="1" applyFont="1" applyFill="1" applyBorder="1" applyAlignment="1" applyProtection="1">
      <alignment horizontal="right" vertical="center"/>
      <protection locked="0"/>
    </xf>
    <xf numFmtId="165" fontId="77" fillId="0" borderId="52" xfId="0" applyNumberFormat="1" applyFont="1" applyBorder="1" applyAlignment="1">
      <alignment horizontal="right" vertical="center"/>
    </xf>
    <xf numFmtId="165" fontId="77" fillId="2" borderId="15" xfId="0" applyNumberFormat="1" applyFont="1" applyFill="1" applyBorder="1" applyAlignment="1">
      <alignment horizontal="right" vertical="center"/>
    </xf>
    <xf numFmtId="0" fontId="80" fillId="9" borderId="6" xfId="0" applyFont="1" applyFill="1" applyBorder="1" applyAlignment="1">
      <alignment horizontal="left" wrapText="1"/>
    </xf>
    <xf numFmtId="165" fontId="80" fillId="8" borderId="15" xfId="0" applyNumberFormat="1" applyFont="1" applyFill="1" applyBorder="1" applyAlignment="1">
      <alignment horizontal="right" vertical="center"/>
    </xf>
    <xf numFmtId="165" fontId="83" fillId="7" borderId="32" xfId="0" applyNumberFormat="1" applyFont="1" applyFill="1" applyBorder="1" applyAlignment="1">
      <alignment horizontal="right" vertical="center"/>
    </xf>
    <xf numFmtId="165" fontId="77" fillId="8" borderId="16" xfId="0" applyNumberFormat="1" applyFont="1" applyFill="1" applyBorder="1" applyAlignment="1" applyProtection="1">
      <alignment horizontal="right" vertical="center"/>
      <protection locked="0"/>
    </xf>
    <xf numFmtId="165" fontId="77" fillId="8" borderId="53" xfId="0" applyNumberFormat="1" applyFont="1" applyFill="1" applyBorder="1" applyAlignment="1" applyProtection="1">
      <alignment horizontal="right" vertical="center"/>
      <protection locked="0"/>
    </xf>
    <xf numFmtId="165" fontId="80" fillId="7" borderId="32" xfId="0" applyNumberFormat="1" applyFont="1" applyFill="1" applyBorder="1" applyAlignment="1" applyProtection="1">
      <alignment horizontal="right" vertical="center"/>
      <protection locked="0"/>
    </xf>
    <xf numFmtId="165" fontId="77" fillId="8" borderId="52" xfId="0" applyNumberFormat="1" applyFont="1" applyFill="1" applyBorder="1" applyAlignment="1">
      <alignment horizontal="right" vertical="center"/>
    </xf>
    <xf numFmtId="165" fontId="80" fillId="8" borderId="52" xfId="0" applyNumberFormat="1" applyFont="1" applyFill="1" applyBorder="1" applyAlignment="1">
      <alignment horizontal="right" vertical="center"/>
    </xf>
    <xf numFmtId="165" fontId="80" fillId="8" borderId="17" xfId="0" applyNumberFormat="1" applyFont="1" applyFill="1" applyBorder="1" applyAlignment="1">
      <alignment horizontal="center" vertical="center"/>
    </xf>
    <xf numFmtId="165" fontId="85" fillId="8" borderId="19" xfId="0" applyNumberFormat="1" applyFont="1" applyFill="1" applyBorder="1" applyAlignment="1">
      <alignment horizontal="right"/>
    </xf>
    <xf numFmtId="181" fontId="77" fillId="0" borderId="0" xfId="0" applyNumberFormat="1" applyFont="1" applyAlignment="1">
      <alignment horizontal="center" vertical="center"/>
    </xf>
    <xf numFmtId="3" fontId="88" fillId="0" borderId="0" xfId="0" applyNumberFormat="1" applyFont="1" applyAlignment="1">
      <alignment horizontal="left" vertical="center"/>
    </xf>
    <xf numFmtId="0" fontId="88" fillId="0" borderId="0" xfId="0" applyFont="1" applyAlignment="1">
      <alignment horizontal="left" vertical="center"/>
    </xf>
    <xf numFmtId="0" fontId="74" fillId="61" borderId="6" xfId="0" applyFont="1" applyFill="1" applyBorder="1" applyAlignment="1">
      <alignment horizontal="left"/>
    </xf>
    <xf numFmtId="165" fontId="80" fillId="61" borderId="6" xfId="0" applyNumberFormat="1" applyFont="1" applyFill="1" applyBorder="1" applyAlignment="1">
      <alignment horizontal="center" vertical="center"/>
    </xf>
    <xf numFmtId="0" fontId="74" fillId="62" borderId="6" xfId="0" applyFont="1" applyFill="1" applyBorder="1" applyAlignment="1">
      <alignment horizontal="left"/>
    </xf>
    <xf numFmtId="165" fontId="80" fillId="62" borderId="6" xfId="0" applyNumberFormat="1" applyFont="1" applyFill="1" applyBorder="1" applyAlignment="1">
      <alignment horizontal="center" vertical="center"/>
    </xf>
    <xf numFmtId="165" fontId="80" fillId="61" borderId="5" xfId="0" applyNumberFormat="1" applyFont="1" applyFill="1" applyBorder="1" applyAlignment="1">
      <alignment horizontal="center" vertical="center"/>
    </xf>
    <xf numFmtId="0" fontId="74" fillId="63" borderId="6" xfId="0" applyFont="1" applyFill="1" applyBorder="1" applyAlignment="1">
      <alignment horizontal="left"/>
    </xf>
    <xf numFmtId="165" fontId="80" fillId="63" borderId="6" xfId="0" applyNumberFormat="1" applyFont="1" applyFill="1" applyBorder="1" applyAlignment="1">
      <alignment horizontal="center" vertical="center"/>
    </xf>
    <xf numFmtId="165" fontId="80" fillId="63" borderId="5" xfId="0" applyNumberFormat="1" applyFont="1" applyFill="1" applyBorder="1" applyAlignment="1">
      <alignment horizontal="center" vertical="center"/>
    </xf>
    <xf numFmtId="165" fontId="80" fillId="62" borderId="5" xfId="0" applyNumberFormat="1" applyFont="1" applyFill="1" applyBorder="1" applyAlignment="1">
      <alignment horizontal="center" vertical="center"/>
    </xf>
    <xf numFmtId="0" fontId="74" fillId="63" borderId="6" xfId="0" applyFont="1" applyFill="1" applyBorder="1" applyAlignment="1">
      <alignment horizontal="center"/>
    </xf>
    <xf numFmtId="165" fontId="74" fillId="8" borderId="58" xfId="1" applyNumberFormat="1" applyFont="1" applyFill="1" applyBorder="1" applyAlignment="1">
      <alignment horizontal="right" vertical="center"/>
    </xf>
    <xf numFmtId="165" fontId="74" fillId="8" borderId="21" xfId="1" applyNumberFormat="1" applyFont="1" applyFill="1" applyBorder="1" applyAlignment="1">
      <alignment horizontal="right" vertical="center"/>
    </xf>
    <xf numFmtId="165" fontId="74" fillId="8" borderId="5" xfId="1" applyNumberFormat="1" applyFont="1" applyFill="1" applyBorder="1" applyAlignment="1">
      <alignment horizontal="right" vertical="center"/>
    </xf>
    <xf numFmtId="0" fontId="71" fillId="64" borderId="54" xfId="0" applyFont="1" applyFill="1" applyBorder="1"/>
    <xf numFmtId="0" fontId="71" fillId="64" borderId="55" xfId="0" applyFont="1" applyFill="1" applyBorder="1"/>
    <xf numFmtId="167" fontId="90" fillId="64" borderId="28" xfId="0" applyNumberFormat="1" applyFont="1" applyFill="1" applyBorder="1" applyAlignment="1">
      <alignment horizontal="right" vertical="top"/>
    </xf>
    <xf numFmtId="165" fontId="80" fillId="63" borderId="5" xfId="0" applyNumberFormat="1" applyFont="1" applyFill="1" applyBorder="1" applyAlignment="1">
      <alignment horizontal="right" vertical="center"/>
    </xf>
    <xf numFmtId="0" fontId="92" fillId="64" borderId="30" xfId="0" applyFont="1" applyFill="1" applyBorder="1" applyAlignment="1">
      <alignment horizontal="right" vertical="top"/>
    </xf>
    <xf numFmtId="0" fontId="92" fillId="64" borderId="0" xfId="0" applyFont="1" applyFill="1" applyAlignment="1">
      <alignment horizontal="right" vertical="top"/>
    </xf>
    <xf numFmtId="0" fontId="92" fillId="64" borderId="56" xfId="0" applyFont="1" applyFill="1" applyBorder="1" applyAlignment="1">
      <alignment horizontal="right" vertical="top"/>
    </xf>
    <xf numFmtId="4" fontId="80" fillId="0" borderId="15" xfId="0" applyNumberFormat="1" applyFont="1" applyBorder="1" applyAlignment="1" applyProtection="1">
      <alignment horizontal="right" vertical="center"/>
      <protection locked="0"/>
    </xf>
    <xf numFmtId="165" fontId="77" fillId="8" borderId="56" xfId="0" applyNumberFormat="1" applyFont="1" applyFill="1" applyBorder="1" applyAlignment="1" applyProtection="1">
      <alignment horizontal="right" vertical="center"/>
      <protection locked="0"/>
    </xf>
    <xf numFmtId="0" fontId="80" fillId="5" borderId="56" xfId="0" applyFont="1" applyFill="1" applyBorder="1" applyAlignment="1">
      <alignment horizontal="center" vertical="center" wrapText="1"/>
    </xf>
    <xf numFmtId="165" fontId="80" fillId="5" borderId="56" xfId="0" applyNumberFormat="1" applyFont="1" applyFill="1" applyBorder="1" applyAlignment="1">
      <alignment horizontal="center" vertical="center"/>
    </xf>
    <xf numFmtId="165" fontId="80" fillId="5" borderId="52" xfId="0" applyNumberFormat="1" applyFont="1" applyFill="1" applyBorder="1" applyAlignment="1">
      <alignment horizontal="center" vertical="center"/>
    </xf>
    <xf numFmtId="165" fontId="77" fillId="8" borderId="57" xfId="0" applyNumberFormat="1" applyFont="1" applyFill="1" applyBorder="1" applyAlignment="1" applyProtection="1">
      <alignment horizontal="right" vertical="center"/>
      <protection locked="0"/>
    </xf>
    <xf numFmtId="165" fontId="74" fillId="8" borderId="59" xfId="1" applyNumberFormat="1" applyFont="1" applyFill="1" applyBorder="1" applyAlignment="1">
      <alignment horizontal="right" vertical="center"/>
    </xf>
    <xf numFmtId="165" fontId="74" fillId="8" borderId="60" xfId="1" applyNumberFormat="1" applyFont="1" applyFill="1" applyBorder="1" applyAlignment="1">
      <alignment horizontal="right" vertical="center"/>
    </xf>
    <xf numFmtId="165" fontId="77" fillId="0" borderId="15" xfId="0" applyNumberFormat="1" applyFont="1" applyBorder="1" applyAlignment="1">
      <alignment horizontal="right" vertical="center" wrapText="1"/>
    </xf>
    <xf numFmtId="165" fontId="77" fillId="0" borderId="0" xfId="0" applyNumberFormat="1" applyFont="1" applyAlignment="1" applyProtection="1">
      <alignment horizontal="right" vertical="center"/>
      <protection locked="0"/>
    </xf>
    <xf numFmtId="3" fontId="80" fillId="0" borderId="5" xfId="0" applyNumberFormat="1" applyFont="1" applyBorder="1" applyAlignment="1">
      <alignment horizontal="right" vertical="center"/>
    </xf>
    <xf numFmtId="3" fontId="77" fillId="0" borderId="15" xfId="0" applyNumberFormat="1" applyFont="1" applyBorder="1" applyAlignment="1">
      <alignment horizontal="right" vertical="center"/>
    </xf>
    <xf numFmtId="4" fontId="80" fillId="0" borderId="15" xfId="0" applyNumberFormat="1" applyFont="1" applyBorder="1"/>
    <xf numFmtId="4" fontId="80" fillId="0" borderId="61" xfId="0" applyNumberFormat="1" applyFont="1" applyBorder="1"/>
    <xf numFmtId="0" fontId="77" fillId="0" borderId="6" xfId="0" applyFont="1" applyBorder="1" applyAlignment="1">
      <alignment horizontal="center" vertical="center"/>
    </xf>
    <xf numFmtId="0" fontId="77" fillId="0" borderId="29" xfId="0" applyFont="1" applyBorder="1" applyAlignment="1">
      <alignment horizontal="center" vertical="center"/>
    </xf>
    <xf numFmtId="0" fontId="77" fillId="0" borderId="21" xfId="0" applyFont="1" applyBorder="1" applyAlignment="1">
      <alignment horizontal="center" vertical="center"/>
    </xf>
    <xf numFmtId="0" fontId="72" fillId="0" borderId="30" xfId="0" applyFont="1" applyBorder="1" applyAlignment="1">
      <alignment horizontal="center"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7" fillId="0" borderId="4" xfId="0" applyFont="1" applyBorder="1" applyAlignment="1">
      <alignment horizontal="center" vertical="center"/>
    </xf>
    <xf numFmtId="0" fontId="77" fillId="0" borderId="52" xfId="0" applyFont="1" applyBorder="1" applyAlignment="1">
      <alignment horizontal="center" vertical="center"/>
    </xf>
    <xf numFmtId="0" fontId="71" fillId="0" borderId="4" xfId="0" applyFont="1" applyBorder="1" applyAlignment="1">
      <alignment horizontal="center" vertical="center"/>
    </xf>
    <xf numFmtId="0" fontId="71" fillId="0" borderId="52" xfId="0" applyFont="1" applyBorder="1" applyAlignment="1">
      <alignment horizontal="center" vertical="center"/>
    </xf>
    <xf numFmtId="0" fontId="77" fillId="0" borderId="4" xfId="0" applyFont="1" applyBorder="1" applyAlignment="1">
      <alignment horizontal="center" vertical="center" wrapText="1"/>
    </xf>
    <xf numFmtId="0" fontId="77" fillId="0" borderId="3" xfId="0" applyFont="1" applyBorder="1" applyAlignment="1">
      <alignment horizontal="center" vertical="center" wrapText="1"/>
    </xf>
    <xf numFmtId="0" fontId="74" fillId="3" borderId="4"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74" fillId="3" borderId="52" xfId="0" applyFont="1" applyFill="1" applyBorder="1" applyAlignment="1">
      <alignment horizontal="center" vertical="center" wrapText="1"/>
    </xf>
    <xf numFmtId="165" fontId="80" fillId="63" borderId="4" xfId="0" applyNumberFormat="1" applyFont="1" applyFill="1" applyBorder="1" applyAlignment="1">
      <alignment horizontal="center" vertical="center"/>
    </xf>
    <xf numFmtId="165" fontId="80" fillId="63" borderId="3" xfId="0" applyNumberFormat="1" applyFont="1" applyFill="1" applyBorder="1" applyAlignment="1">
      <alignment horizontal="center" vertical="center"/>
    </xf>
    <xf numFmtId="165" fontId="80" fillId="63" borderId="52" xfId="0" applyNumberFormat="1" applyFont="1" applyFill="1" applyBorder="1" applyAlignment="1">
      <alignment horizontal="center" vertical="center"/>
    </xf>
    <xf numFmtId="0" fontId="71" fillId="64" borderId="30" xfId="0" applyFont="1" applyFill="1" applyBorder="1" applyAlignment="1">
      <alignment vertical="top" wrapText="1"/>
    </xf>
    <xf numFmtId="0" fontId="71" fillId="64" borderId="1" xfId="0" applyFont="1" applyFill="1" applyBorder="1" applyAlignment="1">
      <alignment vertical="top" wrapText="1"/>
    </xf>
    <xf numFmtId="0" fontId="71" fillId="64" borderId="0" xfId="0" applyFont="1" applyFill="1" applyAlignment="1">
      <alignment vertical="top" wrapText="1"/>
    </xf>
    <xf numFmtId="0" fontId="71" fillId="64" borderId="2" xfId="0" applyFont="1" applyFill="1" applyBorder="1" applyAlignment="1">
      <alignment vertical="top" wrapText="1"/>
    </xf>
    <xf numFmtId="167" fontId="71" fillId="64" borderId="56" xfId="0" applyNumberFormat="1" applyFont="1" applyFill="1" applyBorder="1" applyAlignment="1">
      <alignment vertical="top" wrapText="1"/>
    </xf>
    <xf numFmtId="167" fontId="71" fillId="64" borderId="57" xfId="0" applyNumberFormat="1" applyFont="1" applyFill="1" applyBorder="1" applyAlignment="1">
      <alignment vertical="top" wrapText="1"/>
    </xf>
  </cellXfs>
  <cellStyles count="1851">
    <cellStyle name="          _x000d__x000a_386grabber=VGA.3GR_x000d__x000a_" xfId="409" xr:uid="{00000000-0005-0000-0000-000000000000}"/>
    <cellStyle name="=C:\WINNT\SYSTEM32\COMMAND.COM" xfId="1" xr:uid="{00000000-0005-0000-0000-000001000000}"/>
    <cellStyle name="20% - Accent1" xfId="20" xr:uid="{00000000-0005-0000-0000-000002000000}"/>
    <cellStyle name="20% - Accent2" xfId="24" xr:uid="{00000000-0005-0000-0000-000003000000}"/>
    <cellStyle name="20% - Accent3" xfId="28" xr:uid="{00000000-0005-0000-0000-000004000000}"/>
    <cellStyle name="20% - Accent4" xfId="32" xr:uid="{00000000-0005-0000-0000-000005000000}"/>
    <cellStyle name="20% - Accent5" xfId="36" xr:uid="{00000000-0005-0000-0000-000006000000}"/>
    <cellStyle name="20% - Accent6" xfId="40" xr:uid="{00000000-0005-0000-0000-000007000000}"/>
    <cellStyle name="20% - Énfasis1 10" xfId="410" xr:uid="{00000000-0005-0000-0000-000009000000}"/>
    <cellStyle name="20% - Énfasis1 11" xfId="886" xr:uid="{00000000-0005-0000-0000-00000A000000}"/>
    <cellStyle name="20% - Énfasis1 11 2" xfId="1035" xr:uid="{00000000-0005-0000-0000-00000B000000}"/>
    <cellStyle name="20% - Énfasis1 11 2 2" xfId="1494" xr:uid="{00000000-0005-0000-0000-00000C000000}"/>
    <cellStyle name="20% - Énfasis1 11 3" xfId="1195" xr:uid="{00000000-0005-0000-0000-00000D000000}"/>
    <cellStyle name="20% - Énfasis1 11 3 2" xfId="1659" xr:uid="{00000000-0005-0000-0000-00000E000000}"/>
    <cellStyle name="20% - Énfasis1 11 4" xfId="1418" xr:uid="{00000000-0005-0000-0000-00000F000000}"/>
    <cellStyle name="20% - Énfasis1 12" xfId="1831" xr:uid="{00000000-0005-0000-0000-000010000000}"/>
    <cellStyle name="20% - Énfasis1 2" xfId="342" xr:uid="{00000000-0005-0000-0000-000011000000}"/>
    <cellStyle name="20% - Énfasis1 2 2" xfId="412" xr:uid="{00000000-0005-0000-0000-000012000000}"/>
    <cellStyle name="20% - Énfasis1 2 3" xfId="413" xr:uid="{00000000-0005-0000-0000-000013000000}"/>
    <cellStyle name="20% - Énfasis1 2 4" xfId="411" xr:uid="{00000000-0005-0000-0000-000014000000}"/>
    <cellStyle name="20% - Énfasis1 2 5" xfId="975" xr:uid="{00000000-0005-0000-0000-000015000000}"/>
    <cellStyle name="20% - Énfasis1 2 5 2" xfId="1037" xr:uid="{00000000-0005-0000-0000-000016000000}"/>
    <cellStyle name="20% - Énfasis1 2 5 2 2" xfId="1496" xr:uid="{00000000-0005-0000-0000-000017000000}"/>
    <cellStyle name="20% - Énfasis1 2 5 3" xfId="1197" xr:uid="{00000000-0005-0000-0000-000018000000}"/>
    <cellStyle name="20% - Énfasis1 2 5 3 2" xfId="1661" xr:uid="{00000000-0005-0000-0000-000019000000}"/>
    <cellStyle name="20% - Énfasis1 2 5 4" xfId="1454" xr:uid="{00000000-0005-0000-0000-00001A000000}"/>
    <cellStyle name="20% - Énfasis1 2 6" xfId="1036" xr:uid="{00000000-0005-0000-0000-00001B000000}"/>
    <cellStyle name="20% - Énfasis1 2 6 2" xfId="1495" xr:uid="{00000000-0005-0000-0000-00001C000000}"/>
    <cellStyle name="20% - Énfasis1 2 7" xfId="1196" xr:uid="{00000000-0005-0000-0000-00001D000000}"/>
    <cellStyle name="20% - Énfasis1 2 7 2" xfId="1660" xr:uid="{00000000-0005-0000-0000-00001E000000}"/>
    <cellStyle name="20% - Énfasis1 2 8" xfId="1351" xr:uid="{00000000-0005-0000-0000-00001F000000}"/>
    <cellStyle name="20% - Énfasis1 3" xfId="376" xr:uid="{00000000-0005-0000-0000-000020000000}"/>
    <cellStyle name="20% - Énfasis1 3 2" xfId="414" xr:uid="{00000000-0005-0000-0000-000021000000}"/>
    <cellStyle name="20% - Énfasis1 3 3" xfId="1006" xr:uid="{00000000-0005-0000-0000-000022000000}"/>
    <cellStyle name="20% - Énfasis1 3 3 2" xfId="1039" xr:uid="{00000000-0005-0000-0000-000023000000}"/>
    <cellStyle name="20% - Énfasis1 3 3 2 2" xfId="1498" xr:uid="{00000000-0005-0000-0000-000024000000}"/>
    <cellStyle name="20% - Énfasis1 3 3 3" xfId="1199" xr:uid="{00000000-0005-0000-0000-000025000000}"/>
    <cellStyle name="20% - Énfasis1 3 3 3 2" xfId="1663" xr:uid="{00000000-0005-0000-0000-000026000000}"/>
    <cellStyle name="20% - Énfasis1 3 3 4" xfId="1469" xr:uid="{00000000-0005-0000-0000-000027000000}"/>
    <cellStyle name="20% - Énfasis1 3 4" xfId="1038" xr:uid="{00000000-0005-0000-0000-000028000000}"/>
    <cellStyle name="20% - Énfasis1 3 4 2" xfId="1497" xr:uid="{00000000-0005-0000-0000-000029000000}"/>
    <cellStyle name="20% - Énfasis1 3 5" xfId="1198" xr:uid="{00000000-0005-0000-0000-00002A000000}"/>
    <cellStyle name="20% - Énfasis1 3 5 2" xfId="1662" xr:uid="{00000000-0005-0000-0000-00002B000000}"/>
    <cellStyle name="20% - Énfasis1 3 6" xfId="1367" xr:uid="{00000000-0005-0000-0000-00002C000000}"/>
    <cellStyle name="20% - Énfasis1 4" xfId="385" xr:uid="{00000000-0005-0000-0000-00002D000000}"/>
    <cellStyle name="20% - Énfasis1 4 2" xfId="415" xr:uid="{00000000-0005-0000-0000-00002E000000}"/>
    <cellStyle name="20% - Énfasis1 4 3" xfId="1014" xr:uid="{00000000-0005-0000-0000-00002F000000}"/>
    <cellStyle name="20% - Énfasis1 4 3 2" xfId="1041" xr:uid="{00000000-0005-0000-0000-000030000000}"/>
    <cellStyle name="20% - Énfasis1 4 3 2 2" xfId="1500" xr:uid="{00000000-0005-0000-0000-000031000000}"/>
    <cellStyle name="20% - Énfasis1 4 3 3" xfId="1201" xr:uid="{00000000-0005-0000-0000-000032000000}"/>
    <cellStyle name="20% - Énfasis1 4 3 3 2" xfId="1665" xr:uid="{00000000-0005-0000-0000-000033000000}"/>
    <cellStyle name="20% - Énfasis1 4 3 4" xfId="1476" xr:uid="{00000000-0005-0000-0000-000034000000}"/>
    <cellStyle name="20% - Énfasis1 4 4" xfId="1040" xr:uid="{00000000-0005-0000-0000-000035000000}"/>
    <cellStyle name="20% - Énfasis1 4 4 2" xfId="1499" xr:uid="{00000000-0005-0000-0000-000036000000}"/>
    <cellStyle name="20% - Énfasis1 4 5" xfId="1200" xr:uid="{00000000-0005-0000-0000-000037000000}"/>
    <cellStyle name="20% - Énfasis1 4 5 2" xfId="1664" xr:uid="{00000000-0005-0000-0000-000038000000}"/>
    <cellStyle name="20% - Énfasis1 4 6" xfId="1374" xr:uid="{00000000-0005-0000-0000-000039000000}"/>
    <cellStyle name="20% - Énfasis1 5" xfId="416" xr:uid="{00000000-0005-0000-0000-00003A000000}"/>
    <cellStyle name="20% - Énfasis1 6" xfId="417" xr:uid="{00000000-0005-0000-0000-00003B000000}"/>
    <cellStyle name="20% - Énfasis1 7" xfId="418" xr:uid="{00000000-0005-0000-0000-00003C000000}"/>
    <cellStyle name="20% - Énfasis1 8" xfId="419" xr:uid="{00000000-0005-0000-0000-00003D000000}"/>
    <cellStyle name="20% - Énfasis1 9" xfId="420" xr:uid="{00000000-0005-0000-0000-00003E000000}"/>
    <cellStyle name="20% - Énfasis2 10" xfId="421" xr:uid="{00000000-0005-0000-0000-000040000000}"/>
    <cellStyle name="20% - Énfasis2 11" xfId="888" xr:uid="{00000000-0005-0000-0000-000041000000}"/>
    <cellStyle name="20% - Énfasis2 11 2" xfId="1042" xr:uid="{00000000-0005-0000-0000-000042000000}"/>
    <cellStyle name="20% - Énfasis2 11 2 2" xfId="1501" xr:uid="{00000000-0005-0000-0000-000043000000}"/>
    <cellStyle name="20% - Énfasis2 11 3" xfId="1202" xr:uid="{00000000-0005-0000-0000-000044000000}"/>
    <cellStyle name="20% - Énfasis2 11 3 2" xfId="1666" xr:uid="{00000000-0005-0000-0000-000045000000}"/>
    <cellStyle name="20% - Énfasis2 11 4" xfId="1420" xr:uid="{00000000-0005-0000-0000-000046000000}"/>
    <cellStyle name="20% - Énfasis2 12" xfId="1833" xr:uid="{00000000-0005-0000-0000-000047000000}"/>
    <cellStyle name="20% - Énfasis2 2" xfId="346" xr:uid="{00000000-0005-0000-0000-000048000000}"/>
    <cellStyle name="20% - Énfasis2 2 2" xfId="422" xr:uid="{00000000-0005-0000-0000-000049000000}"/>
    <cellStyle name="20% - Énfasis2 2 3" xfId="979" xr:uid="{00000000-0005-0000-0000-00004A000000}"/>
    <cellStyle name="20% - Énfasis2 2 3 2" xfId="1044" xr:uid="{00000000-0005-0000-0000-00004B000000}"/>
    <cellStyle name="20% - Énfasis2 2 3 2 2" xfId="1503" xr:uid="{00000000-0005-0000-0000-00004C000000}"/>
    <cellStyle name="20% - Énfasis2 2 3 3" xfId="1204" xr:uid="{00000000-0005-0000-0000-00004D000000}"/>
    <cellStyle name="20% - Énfasis2 2 3 3 2" xfId="1668" xr:uid="{00000000-0005-0000-0000-00004E000000}"/>
    <cellStyle name="20% - Énfasis2 2 3 4" xfId="1456" xr:uid="{00000000-0005-0000-0000-00004F000000}"/>
    <cellStyle name="20% - Énfasis2 2 4" xfId="1043" xr:uid="{00000000-0005-0000-0000-000050000000}"/>
    <cellStyle name="20% - Énfasis2 2 4 2" xfId="1502" xr:uid="{00000000-0005-0000-0000-000051000000}"/>
    <cellStyle name="20% - Énfasis2 2 5" xfId="1203" xr:uid="{00000000-0005-0000-0000-000052000000}"/>
    <cellStyle name="20% - Énfasis2 2 5 2" xfId="1667" xr:uid="{00000000-0005-0000-0000-000053000000}"/>
    <cellStyle name="20% - Énfasis2 2 6" xfId="1353" xr:uid="{00000000-0005-0000-0000-000054000000}"/>
    <cellStyle name="20% - Énfasis2 3" xfId="423" xr:uid="{00000000-0005-0000-0000-000055000000}"/>
    <cellStyle name="20% - Énfasis2 4" xfId="424" xr:uid="{00000000-0005-0000-0000-000056000000}"/>
    <cellStyle name="20% - Énfasis2 5" xfId="425" xr:uid="{00000000-0005-0000-0000-000057000000}"/>
    <cellStyle name="20% - Énfasis2 6" xfId="426" xr:uid="{00000000-0005-0000-0000-000058000000}"/>
    <cellStyle name="20% - Énfasis2 7" xfId="427" xr:uid="{00000000-0005-0000-0000-000059000000}"/>
    <cellStyle name="20% - Énfasis2 8" xfId="428" xr:uid="{00000000-0005-0000-0000-00005A000000}"/>
    <cellStyle name="20% - Énfasis2 9" xfId="429" xr:uid="{00000000-0005-0000-0000-00005B000000}"/>
    <cellStyle name="20% - Énfasis3 10" xfId="430" xr:uid="{00000000-0005-0000-0000-00005D000000}"/>
    <cellStyle name="20% - Énfasis3 11" xfId="890" xr:uid="{00000000-0005-0000-0000-00005E000000}"/>
    <cellStyle name="20% - Énfasis3 11 2" xfId="1045" xr:uid="{00000000-0005-0000-0000-00005F000000}"/>
    <cellStyle name="20% - Énfasis3 11 2 2" xfId="1504" xr:uid="{00000000-0005-0000-0000-000060000000}"/>
    <cellStyle name="20% - Énfasis3 11 3" xfId="1205" xr:uid="{00000000-0005-0000-0000-000061000000}"/>
    <cellStyle name="20% - Énfasis3 11 3 2" xfId="1669" xr:uid="{00000000-0005-0000-0000-000062000000}"/>
    <cellStyle name="20% - Énfasis3 11 4" xfId="1422" xr:uid="{00000000-0005-0000-0000-000063000000}"/>
    <cellStyle name="20% - Énfasis3 12" xfId="1835" xr:uid="{00000000-0005-0000-0000-000064000000}"/>
    <cellStyle name="20% - Énfasis3 2" xfId="350" xr:uid="{00000000-0005-0000-0000-000065000000}"/>
    <cellStyle name="20% - Énfasis3 2 2" xfId="431" xr:uid="{00000000-0005-0000-0000-000066000000}"/>
    <cellStyle name="20% - Énfasis3 2 3" xfId="983" xr:uid="{00000000-0005-0000-0000-000067000000}"/>
    <cellStyle name="20% - Énfasis3 2 3 2" xfId="1047" xr:uid="{00000000-0005-0000-0000-000068000000}"/>
    <cellStyle name="20% - Énfasis3 2 3 2 2" xfId="1506" xr:uid="{00000000-0005-0000-0000-000069000000}"/>
    <cellStyle name="20% - Énfasis3 2 3 3" xfId="1207" xr:uid="{00000000-0005-0000-0000-00006A000000}"/>
    <cellStyle name="20% - Énfasis3 2 3 3 2" xfId="1671" xr:uid="{00000000-0005-0000-0000-00006B000000}"/>
    <cellStyle name="20% - Énfasis3 2 3 4" xfId="1458" xr:uid="{00000000-0005-0000-0000-00006C000000}"/>
    <cellStyle name="20% - Énfasis3 2 4" xfId="1046" xr:uid="{00000000-0005-0000-0000-00006D000000}"/>
    <cellStyle name="20% - Énfasis3 2 4 2" xfId="1505" xr:uid="{00000000-0005-0000-0000-00006E000000}"/>
    <cellStyle name="20% - Énfasis3 2 5" xfId="1206" xr:uid="{00000000-0005-0000-0000-00006F000000}"/>
    <cellStyle name="20% - Énfasis3 2 5 2" xfId="1670" xr:uid="{00000000-0005-0000-0000-000070000000}"/>
    <cellStyle name="20% - Énfasis3 2 6" xfId="1355" xr:uid="{00000000-0005-0000-0000-000071000000}"/>
    <cellStyle name="20% - Énfasis3 3" xfId="432" xr:uid="{00000000-0005-0000-0000-000072000000}"/>
    <cellStyle name="20% - Énfasis3 4" xfId="433" xr:uid="{00000000-0005-0000-0000-000073000000}"/>
    <cellStyle name="20% - Énfasis3 5" xfId="434" xr:uid="{00000000-0005-0000-0000-000074000000}"/>
    <cellStyle name="20% - Énfasis3 6" xfId="435" xr:uid="{00000000-0005-0000-0000-000075000000}"/>
    <cellStyle name="20% - Énfasis3 7" xfId="436" xr:uid="{00000000-0005-0000-0000-000076000000}"/>
    <cellStyle name="20% - Énfasis3 8" xfId="437" xr:uid="{00000000-0005-0000-0000-000077000000}"/>
    <cellStyle name="20% - Énfasis3 9" xfId="438" xr:uid="{00000000-0005-0000-0000-000078000000}"/>
    <cellStyle name="20% - Énfasis4 10" xfId="439" xr:uid="{00000000-0005-0000-0000-00007A000000}"/>
    <cellStyle name="20% - Énfasis4 11" xfId="892" xr:uid="{00000000-0005-0000-0000-00007B000000}"/>
    <cellStyle name="20% - Énfasis4 11 2" xfId="1048" xr:uid="{00000000-0005-0000-0000-00007C000000}"/>
    <cellStyle name="20% - Énfasis4 11 2 2" xfId="1507" xr:uid="{00000000-0005-0000-0000-00007D000000}"/>
    <cellStyle name="20% - Énfasis4 11 3" xfId="1208" xr:uid="{00000000-0005-0000-0000-00007E000000}"/>
    <cellStyle name="20% - Énfasis4 11 3 2" xfId="1672" xr:uid="{00000000-0005-0000-0000-00007F000000}"/>
    <cellStyle name="20% - Énfasis4 11 4" xfId="1424" xr:uid="{00000000-0005-0000-0000-000080000000}"/>
    <cellStyle name="20% - Énfasis4 12" xfId="1837" xr:uid="{00000000-0005-0000-0000-000081000000}"/>
    <cellStyle name="20% - Énfasis4 2" xfId="354" xr:uid="{00000000-0005-0000-0000-000082000000}"/>
    <cellStyle name="20% - Énfasis4 2 2" xfId="440" xr:uid="{00000000-0005-0000-0000-000083000000}"/>
    <cellStyle name="20% - Énfasis4 2 3" xfId="987" xr:uid="{00000000-0005-0000-0000-000084000000}"/>
    <cellStyle name="20% - Énfasis4 2 3 2" xfId="1050" xr:uid="{00000000-0005-0000-0000-000085000000}"/>
    <cellStyle name="20% - Énfasis4 2 3 2 2" xfId="1509" xr:uid="{00000000-0005-0000-0000-000086000000}"/>
    <cellStyle name="20% - Énfasis4 2 3 3" xfId="1210" xr:uid="{00000000-0005-0000-0000-000087000000}"/>
    <cellStyle name="20% - Énfasis4 2 3 3 2" xfId="1674" xr:uid="{00000000-0005-0000-0000-000088000000}"/>
    <cellStyle name="20% - Énfasis4 2 3 4" xfId="1460" xr:uid="{00000000-0005-0000-0000-000089000000}"/>
    <cellStyle name="20% - Énfasis4 2 4" xfId="1049" xr:uid="{00000000-0005-0000-0000-00008A000000}"/>
    <cellStyle name="20% - Énfasis4 2 4 2" xfId="1508" xr:uid="{00000000-0005-0000-0000-00008B000000}"/>
    <cellStyle name="20% - Énfasis4 2 5" xfId="1209" xr:uid="{00000000-0005-0000-0000-00008C000000}"/>
    <cellStyle name="20% - Énfasis4 2 5 2" xfId="1673" xr:uid="{00000000-0005-0000-0000-00008D000000}"/>
    <cellStyle name="20% - Énfasis4 2 6" xfId="1357" xr:uid="{00000000-0005-0000-0000-00008E000000}"/>
    <cellStyle name="20% - Énfasis4 3" xfId="441" xr:uid="{00000000-0005-0000-0000-00008F000000}"/>
    <cellStyle name="20% - Énfasis4 4" xfId="442" xr:uid="{00000000-0005-0000-0000-000090000000}"/>
    <cellStyle name="20% - Énfasis4 5" xfId="443" xr:uid="{00000000-0005-0000-0000-000091000000}"/>
    <cellStyle name="20% - Énfasis4 6" xfId="444" xr:uid="{00000000-0005-0000-0000-000092000000}"/>
    <cellStyle name="20% - Énfasis4 7" xfId="445" xr:uid="{00000000-0005-0000-0000-000093000000}"/>
    <cellStyle name="20% - Énfasis4 8" xfId="446" xr:uid="{00000000-0005-0000-0000-000094000000}"/>
    <cellStyle name="20% - Énfasis4 9" xfId="447" xr:uid="{00000000-0005-0000-0000-000095000000}"/>
    <cellStyle name="20% - Énfasis5 10" xfId="448" xr:uid="{00000000-0005-0000-0000-000097000000}"/>
    <cellStyle name="20% - Énfasis5 11" xfId="894" xr:uid="{00000000-0005-0000-0000-000098000000}"/>
    <cellStyle name="20% - Énfasis5 11 2" xfId="1051" xr:uid="{00000000-0005-0000-0000-000099000000}"/>
    <cellStyle name="20% - Énfasis5 11 2 2" xfId="1510" xr:uid="{00000000-0005-0000-0000-00009A000000}"/>
    <cellStyle name="20% - Énfasis5 11 3" xfId="1211" xr:uid="{00000000-0005-0000-0000-00009B000000}"/>
    <cellStyle name="20% - Énfasis5 11 3 2" xfId="1675" xr:uid="{00000000-0005-0000-0000-00009C000000}"/>
    <cellStyle name="20% - Énfasis5 11 4" xfId="1426" xr:uid="{00000000-0005-0000-0000-00009D000000}"/>
    <cellStyle name="20% - Énfasis5 12" xfId="1839" xr:uid="{00000000-0005-0000-0000-00009E000000}"/>
    <cellStyle name="20% - Énfasis5 2" xfId="358" xr:uid="{00000000-0005-0000-0000-00009F000000}"/>
    <cellStyle name="20% - Énfasis5 2 2" xfId="449" xr:uid="{00000000-0005-0000-0000-0000A0000000}"/>
    <cellStyle name="20% - Énfasis5 2 3" xfId="991" xr:uid="{00000000-0005-0000-0000-0000A1000000}"/>
    <cellStyle name="20% - Énfasis5 2 3 2" xfId="1053" xr:uid="{00000000-0005-0000-0000-0000A2000000}"/>
    <cellStyle name="20% - Énfasis5 2 3 2 2" xfId="1512" xr:uid="{00000000-0005-0000-0000-0000A3000000}"/>
    <cellStyle name="20% - Énfasis5 2 3 3" xfId="1213" xr:uid="{00000000-0005-0000-0000-0000A4000000}"/>
    <cellStyle name="20% - Énfasis5 2 3 3 2" xfId="1677" xr:uid="{00000000-0005-0000-0000-0000A5000000}"/>
    <cellStyle name="20% - Énfasis5 2 3 4" xfId="1462" xr:uid="{00000000-0005-0000-0000-0000A6000000}"/>
    <cellStyle name="20% - Énfasis5 2 4" xfId="1052" xr:uid="{00000000-0005-0000-0000-0000A7000000}"/>
    <cellStyle name="20% - Énfasis5 2 4 2" xfId="1511" xr:uid="{00000000-0005-0000-0000-0000A8000000}"/>
    <cellStyle name="20% - Énfasis5 2 5" xfId="1212" xr:uid="{00000000-0005-0000-0000-0000A9000000}"/>
    <cellStyle name="20% - Énfasis5 2 5 2" xfId="1676" xr:uid="{00000000-0005-0000-0000-0000AA000000}"/>
    <cellStyle name="20% - Énfasis5 2 6" xfId="1359" xr:uid="{00000000-0005-0000-0000-0000AB000000}"/>
    <cellStyle name="20% - Énfasis5 3" xfId="450" xr:uid="{00000000-0005-0000-0000-0000AC000000}"/>
    <cellStyle name="20% - Énfasis5 4" xfId="451" xr:uid="{00000000-0005-0000-0000-0000AD000000}"/>
    <cellStyle name="20% - Énfasis5 5" xfId="452" xr:uid="{00000000-0005-0000-0000-0000AE000000}"/>
    <cellStyle name="20% - Énfasis5 6" xfId="453" xr:uid="{00000000-0005-0000-0000-0000AF000000}"/>
    <cellStyle name="20% - Énfasis5 7" xfId="454" xr:uid="{00000000-0005-0000-0000-0000B0000000}"/>
    <cellStyle name="20% - Énfasis5 8" xfId="455" xr:uid="{00000000-0005-0000-0000-0000B1000000}"/>
    <cellStyle name="20% - Énfasis5 9" xfId="456" xr:uid="{00000000-0005-0000-0000-0000B2000000}"/>
    <cellStyle name="20% - Énfasis6 10" xfId="457" xr:uid="{00000000-0005-0000-0000-0000B4000000}"/>
    <cellStyle name="20% - Énfasis6 11" xfId="896" xr:uid="{00000000-0005-0000-0000-0000B5000000}"/>
    <cellStyle name="20% - Énfasis6 11 2" xfId="1054" xr:uid="{00000000-0005-0000-0000-0000B6000000}"/>
    <cellStyle name="20% - Énfasis6 11 2 2" xfId="1513" xr:uid="{00000000-0005-0000-0000-0000B7000000}"/>
    <cellStyle name="20% - Énfasis6 11 3" xfId="1214" xr:uid="{00000000-0005-0000-0000-0000B8000000}"/>
    <cellStyle name="20% - Énfasis6 11 3 2" xfId="1678" xr:uid="{00000000-0005-0000-0000-0000B9000000}"/>
    <cellStyle name="20% - Énfasis6 11 4" xfId="1428" xr:uid="{00000000-0005-0000-0000-0000BA000000}"/>
    <cellStyle name="20% - Énfasis6 12" xfId="1841" xr:uid="{00000000-0005-0000-0000-0000BB000000}"/>
    <cellStyle name="20% - Énfasis6 2" xfId="362" xr:uid="{00000000-0005-0000-0000-0000BC000000}"/>
    <cellStyle name="20% - Énfasis6 2 2" xfId="458" xr:uid="{00000000-0005-0000-0000-0000BD000000}"/>
    <cellStyle name="20% - Énfasis6 2 3" xfId="995" xr:uid="{00000000-0005-0000-0000-0000BE000000}"/>
    <cellStyle name="20% - Énfasis6 2 3 2" xfId="1056" xr:uid="{00000000-0005-0000-0000-0000BF000000}"/>
    <cellStyle name="20% - Énfasis6 2 3 2 2" xfId="1515" xr:uid="{00000000-0005-0000-0000-0000C0000000}"/>
    <cellStyle name="20% - Énfasis6 2 3 3" xfId="1216" xr:uid="{00000000-0005-0000-0000-0000C1000000}"/>
    <cellStyle name="20% - Énfasis6 2 3 3 2" xfId="1680" xr:uid="{00000000-0005-0000-0000-0000C2000000}"/>
    <cellStyle name="20% - Énfasis6 2 3 4" xfId="1464" xr:uid="{00000000-0005-0000-0000-0000C3000000}"/>
    <cellStyle name="20% - Énfasis6 2 4" xfId="1055" xr:uid="{00000000-0005-0000-0000-0000C4000000}"/>
    <cellStyle name="20% - Énfasis6 2 4 2" xfId="1514" xr:uid="{00000000-0005-0000-0000-0000C5000000}"/>
    <cellStyle name="20% - Énfasis6 2 5" xfId="1215" xr:uid="{00000000-0005-0000-0000-0000C6000000}"/>
    <cellStyle name="20% - Énfasis6 2 5 2" xfId="1679" xr:uid="{00000000-0005-0000-0000-0000C7000000}"/>
    <cellStyle name="20% - Énfasis6 2 6" xfId="1361" xr:uid="{00000000-0005-0000-0000-0000C8000000}"/>
    <cellStyle name="20% - Énfasis6 3" xfId="459" xr:uid="{00000000-0005-0000-0000-0000C9000000}"/>
    <cellStyle name="20% - Énfasis6 4" xfId="460" xr:uid="{00000000-0005-0000-0000-0000CA000000}"/>
    <cellStyle name="20% - Énfasis6 5" xfId="461" xr:uid="{00000000-0005-0000-0000-0000CB000000}"/>
    <cellStyle name="20% - Énfasis6 6" xfId="462" xr:uid="{00000000-0005-0000-0000-0000CC000000}"/>
    <cellStyle name="20% - Énfasis6 7" xfId="463" xr:uid="{00000000-0005-0000-0000-0000CD000000}"/>
    <cellStyle name="20% - Énfasis6 8" xfId="464" xr:uid="{00000000-0005-0000-0000-0000CE000000}"/>
    <cellStyle name="20% - Énfasis6 9" xfId="465" xr:uid="{00000000-0005-0000-0000-0000CF000000}"/>
    <cellStyle name="40% - Accent1" xfId="21" xr:uid="{00000000-0005-0000-0000-0000D0000000}"/>
    <cellStyle name="40% - Accent2" xfId="25" xr:uid="{00000000-0005-0000-0000-0000D1000000}"/>
    <cellStyle name="40% - Accent3" xfId="29" xr:uid="{00000000-0005-0000-0000-0000D2000000}"/>
    <cellStyle name="40% - Accent4" xfId="33" xr:uid="{00000000-0005-0000-0000-0000D3000000}"/>
    <cellStyle name="40% - Accent5" xfId="37" xr:uid="{00000000-0005-0000-0000-0000D4000000}"/>
    <cellStyle name="40% - Accent6" xfId="41" xr:uid="{00000000-0005-0000-0000-0000D5000000}"/>
    <cellStyle name="40% - Énfasis1 10" xfId="466" xr:uid="{00000000-0005-0000-0000-0000D7000000}"/>
    <cellStyle name="40% - Énfasis1 11" xfId="887" xr:uid="{00000000-0005-0000-0000-0000D8000000}"/>
    <cellStyle name="40% - Énfasis1 11 2" xfId="1057" xr:uid="{00000000-0005-0000-0000-0000D9000000}"/>
    <cellStyle name="40% - Énfasis1 11 2 2" xfId="1516" xr:uid="{00000000-0005-0000-0000-0000DA000000}"/>
    <cellStyle name="40% - Énfasis1 11 3" xfId="1217" xr:uid="{00000000-0005-0000-0000-0000DB000000}"/>
    <cellStyle name="40% - Énfasis1 11 3 2" xfId="1681" xr:uid="{00000000-0005-0000-0000-0000DC000000}"/>
    <cellStyle name="40% - Énfasis1 11 4" xfId="1419" xr:uid="{00000000-0005-0000-0000-0000DD000000}"/>
    <cellStyle name="40% - Énfasis1 12" xfId="1832" xr:uid="{00000000-0005-0000-0000-0000DE000000}"/>
    <cellStyle name="40% - Énfasis1 2" xfId="343" xr:uid="{00000000-0005-0000-0000-0000DF000000}"/>
    <cellStyle name="40% - Énfasis1 2 2" xfId="467" xr:uid="{00000000-0005-0000-0000-0000E0000000}"/>
    <cellStyle name="40% - Énfasis1 2 3" xfId="976" xr:uid="{00000000-0005-0000-0000-0000E1000000}"/>
    <cellStyle name="40% - Énfasis1 2 3 2" xfId="1059" xr:uid="{00000000-0005-0000-0000-0000E2000000}"/>
    <cellStyle name="40% - Énfasis1 2 3 2 2" xfId="1518" xr:uid="{00000000-0005-0000-0000-0000E3000000}"/>
    <cellStyle name="40% - Énfasis1 2 3 3" xfId="1219" xr:uid="{00000000-0005-0000-0000-0000E4000000}"/>
    <cellStyle name="40% - Énfasis1 2 3 3 2" xfId="1683" xr:uid="{00000000-0005-0000-0000-0000E5000000}"/>
    <cellStyle name="40% - Énfasis1 2 3 4" xfId="1455" xr:uid="{00000000-0005-0000-0000-0000E6000000}"/>
    <cellStyle name="40% - Énfasis1 2 4" xfId="1058" xr:uid="{00000000-0005-0000-0000-0000E7000000}"/>
    <cellStyle name="40% - Énfasis1 2 4 2" xfId="1517" xr:uid="{00000000-0005-0000-0000-0000E8000000}"/>
    <cellStyle name="40% - Énfasis1 2 5" xfId="1218" xr:uid="{00000000-0005-0000-0000-0000E9000000}"/>
    <cellStyle name="40% - Énfasis1 2 5 2" xfId="1682" xr:uid="{00000000-0005-0000-0000-0000EA000000}"/>
    <cellStyle name="40% - Énfasis1 2 6" xfId="1352" xr:uid="{00000000-0005-0000-0000-0000EB000000}"/>
    <cellStyle name="40% - Énfasis1 3" xfId="377" xr:uid="{00000000-0005-0000-0000-0000EC000000}"/>
    <cellStyle name="40% - Énfasis1 3 2" xfId="468" xr:uid="{00000000-0005-0000-0000-0000ED000000}"/>
    <cellStyle name="40% - Énfasis1 3 3" xfId="1007" xr:uid="{00000000-0005-0000-0000-0000EE000000}"/>
    <cellStyle name="40% - Énfasis1 3 3 2" xfId="1061" xr:uid="{00000000-0005-0000-0000-0000EF000000}"/>
    <cellStyle name="40% - Énfasis1 3 3 2 2" xfId="1520" xr:uid="{00000000-0005-0000-0000-0000F0000000}"/>
    <cellStyle name="40% - Énfasis1 3 3 3" xfId="1221" xr:uid="{00000000-0005-0000-0000-0000F1000000}"/>
    <cellStyle name="40% - Énfasis1 3 3 3 2" xfId="1685" xr:uid="{00000000-0005-0000-0000-0000F2000000}"/>
    <cellStyle name="40% - Énfasis1 3 3 4" xfId="1470" xr:uid="{00000000-0005-0000-0000-0000F3000000}"/>
    <cellStyle name="40% - Énfasis1 3 4" xfId="1060" xr:uid="{00000000-0005-0000-0000-0000F4000000}"/>
    <cellStyle name="40% - Énfasis1 3 4 2" xfId="1519" xr:uid="{00000000-0005-0000-0000-0000F5000000}"/>
    <cellStyle name="40% - Énfasis1 3 5" xfId="1220" xr:uid="{00000000-0005-0000-0000-0000F6000000}"/>
    <cellStyle name="40% - Énfasis1 3 5 2" xfId="1684" xr:uid="{00000000-0005-0000-0000-0000F7000000}"/>
    <cellStyle name="40% - Énfasis1 3 6" xfId="1368" xr:uid="{00000000-0005-0000-0000-0000F8000000}"/>
    <cellStyle name="40% - Énfasis1 4" xfId="386" xr:uid="{00000000-0005-0000-0000-0000F9000000}"/>
    <cellStyle name="40% - Énfasis1 4 2" xfId="469" xr:uid="{00000000-0005-0000-0000-0000FA000000}"/>
    <cellStyle name="40% - Énfasis1 4 3" xfId="1015" xr:uid="{00000000-0005-0000-0000-0000FB000000}"/>
    <cellStyle name="40% - Énfasis1 4 3 2" xfId="1063" xr:uid="{00000000-0005-0000-0000-0000FC000000}"/>
    <cellStyle name="40% - Énfasis1 4 3 2 2" xfId="1522" xr:uid="{00000000-0005-0000-0000-0000FD000000}"/>
    <cellStyle name="40% - Énfasis1 4 3 3" xfId="1223" xr:uid="{00000000-0005-0000-0000-0000FE000000}"/>
    <cellStyle name="40% - Énfasis1 4 3 3 2" xfId="1687" xr:uid="{00000000-0005-0000-0000-0000FF000000}"/>
    <cellStyle name="40% - Énfasis1 4 3 4" xfId="1477" xr:uid="{00000000-0005-0000-0000-000000010000}"/>
    <cellStyle name="40% - Énfasis1 4 4" xfId="1062" xr:uid="{00000000-0005-0000-0000-000001010000}"/>
    <cellStyle name="40% - Énfasis1 4 4 2" xfId="1521" xr:uid="{00000000-0005-0000-0000-000002010000}"/>
    <cellStyle name="40% - Énfasis1 4 5" xfId="1222" xr:uid="{00000000-0005-0000-0000-000003010000}"/>
    <cellStyle name="40% - Énfasis1 4 5 2" xfId="1686" xr:uid="{00000000-0005-0000-0000-000004010000}"/>
    <cellStyle name="40% - Énfasis1 4 6" xfId="1375" xr:uid="{00000000-0005-0000-0000-000005010000}"/>
    <cellStyle name="40% - Énfasis1 5" xfId="470" xr:uid="{00000000-0005-0000-0000-000006010000}"/>
    <cellStyle name="40% - Énfasis1 6" xfId="471" xr:uid="{00000000-0005-0000-0000-000007010000}"/>
    <cellStyle name="40% - Énfasis1 7" xfId="472" xr:uid="{00000000-0005-0000-0000-000008010000}"/>
    <cellStyle name="40% - Énfasis1 8" xfId="473" xr:uid="{00000000-0005-0000-0000-000009010000}"/>
    <cellStyle name="40% - Énfasis1 9" xfId="474" xr:uid="{00000000-0005-0000-0000-00000A010000}"/>
    <cellStyle name="40% - Énfasis2 10" xfId="475" xr:uid="{00000000-0005-0000-0000-00000C010000}"/>
    <cellStyle name="40% - Énfasis2 11" xfId="889" xr:uid="{00000000-0005-0000-0000-00000D010000}"/>
    <cellStyle name="40% - Énfasis2 11 2" xfId="1064" xr:uid="{00000000-0005-0000-0000-00000E010000}"/>
    <cellStyle name="40% - Énfasis2 11 2 2" xfId="1523" xr:uid="{00000000-0005-0000-0000-00000F010000}"/>
    <cellStyle name="40% - Énfasis2 11 3" xfId="1224" xr:uid="{00000000-0005-0000-0000-000010010000}"/>
    <cellStyle name="40% - Énfasis2 11 3 2" xfId="1688" xr:uid="{00000000-0005-0000-0000-000011010000}"/>
    <cellStyle name="40% - Énfasis2 11 4" xfId="1421" xr:uid="{00000000-0005-0000-0000-000012010000}"/>
    <cellStyle name="40% - Énfasis2 12" xfId="1834" xr:uid="{00000000-0005-0000-0000-000013010000}"/>
    <cellStyle name="40% - Énfasis2 2" xfId="347" xr:uid="{00000000-0005-0000-0000-000014010000}"/>
    <cellStyle name="40% - Énfasis2 2 2" xfId="476" xr:uid="{00000000-0005-0000-0000-000015010000}"/>
    <cellStyle name="40% - Énfasis2 2 3" xfId="980" xr:uid="{00000000-0005-0000-0000-000016010000}"/>
    <cellStyle name="40% - Énfasis2 2 3 2" xfId="1066" xr:uid="{00000000-0005-0000-0000-000017010000}"/>
    <cellStyle name="40% - Énfasis2 2 3 2 2" xfId="1525" xr:uid="{00000000-0005-0000-0000-000018010000}"/>
    <cellStyle name="40% - Énfasis2 2 3 3" xfId="1226" xr:uid="{00000000-0005-0000-0000-000019010000}"/>
    <cellStyle name="40% - Énfasis2 2 3 3 2" xfId="1690" xr:uid="{00000000-0005-0000-0000-00001A010000}"/>
    <cellStyle name="40% - Énfasis2 2 3 4" xfId="1457" xr:uid="{00000000-0005-0000-0000-00001B010000}"/>
    <cellStyle name="40% - Énfasis2 2 4" xfId="1065" xr:uid="{00000000-0005-0000-0000-00001C010000}"/>
    <cellStyle name="40% - Énfasis2 2 4 2" xfId="1524" xr:uid="{00000000-0005-0000-0000-00001D010000}"/>
    <cellStyle name="40% - Énfasis2 2 5" xfId="1225" xr:uid="{00000000-0005-0000-0000-00001E010000}"/>
    <cellStyle name="40% - Énfasis2 2 5 2" xfId="1689" xr:uid="{00000000-0005-0000-0000-00001F010000}"/>
    <cellStyle name="40% - Énfasis2 2 6" xfId="1354" xr:uid="{00000000-0005-0000-0000-000020010000}"/>
    <cellStyle name="40% - Énfasis2 3" xfId="477" xr:uid="{00000000-0005-0000-0000-000021010000}"/>
    <cellStyle name="40% - Énfasis2 4" xfId="478" xr:uid="{00000000-0005-0000-0000-000022010000}"/>
    <cellStyle name="40% - Énfasis2 5" xfId="479" xr:uid="{00000000-0005-0000-0000-000023010000}"/>
    <cellStyle name="40% - Énfasis2 6" xfId="480" xr:uid="{00000000-0005-0000-0000-000024010000}"/>
    <cellStyle name="40% - Énfasis2 7" xfId="481" xr:uid="{00000000-0005-0000-0000-000025010000}"/>
    <cellStyle name="40% - Énfasis2 8" xfId="482" xr:uid="{00000000-0005-0000-0000-000026010000}"/>
    <cellStyle name="40% - Énfasis2 9" xfId="483" xr:uid="{00000000-0005-0000-0000-000027010000}"/>
    <cellStyle name="40% - Énfasis3 10" xfId="484" xr:uid="{00000000-0005-0000-0000-000029010000}"/>
    <cellStyle name="40% - Énfasis3 11" xfId="891" xr:uid="{00000000-0005-0000-0000-00002A010000}"/>
    <cellStyle name="40% - Énfasis3 11 2" xfId="1067" xr:uid="{00000000-0005-0000-0000-00002B010000}"/>
    <cellStyle name="40% - Énfasis3 11 2 2" xfId="1526" xr:uid="{00000000-0005-0000-0000-00002C010000}"/>
    <cellStyle name="40% - Énfasis3 11 3" xfId="1227" xr:uid="{00000000-0005-0000-0000-00002D010000}"/>
    <cellStyle name="40% - Énfasis3 11 3 2" xfId="1691" xr:uid="{00000000-0005-0000-0000-00002E010000}"/>
    <cellStyle name="40% - Énfasis3 11 4" xfId="1423" xr:uid="{00000000-0005-0000-0000-00002F010000}"/>
    <cellStyle name="40% - Énfasis3 12" xfId="1836" xr:uid="{00000000-0005-0000-0000-000030010000}"/>
    <cellStyle name="40% - Énfasis3 2" xfId="351" xr:uid="{00000000-0005-0000-0000-000031010000}"/>
    <cellStyle name="40% - Énfasis3 2 2" xfId="485" xr:uid="{00000000-0005-0000-0000-000032010000}"/>
    <cellStyle name="40% - Énfasis3 2 3" xfId="984" xr:uid="{00000000-0005-0000-0000-000033010000}"/>
    <cellStyle name="40% - Énfasis3 2 3 2" xfId="1069" xr:uid="{00000000-0005-0000-0000-000034010000}"/>
    <cellStyle name="40% - Énfasis3 2 3 2 2" xfId="1528" xr:uid="{00000000-0005-0000-0000-000035010000}"/>
    <cellStyle name="40% - Énfasis3 2 3 3" xfId="1229" xr:uid="{00000000-0005-0000-0000-000036010000}"/>
    <cellStyle name="40% - Énfasis3 2 3 3 2" xfId="1693" xr:uid="{00000000-0005-0000-0000-000037010000}"/>
    <cellStyle name="40% - Énfasis3 2 3 4" xfId="1459" xr:uid="{00000000-0005-0000-0000-000038010000}"/>
    <cellStyle name="40% - Énfasis3 2 4" xfId="1068" xr:uid="{00000000-0005-0000-0000-000039010000}"/>
    <cellStyle name="40% - Énfasis3 2 4 2" xfId="1527" xr:uid="{00000000-0005-0000-0000-00003A010000}"/>
    <cellStyle name="40% - Énfasis3 2 5" xfId="1228" xr:uid="{00000000-0005-0000-0000-00003B010000}"/>
    <cellStyle name="40% - Énfasis3 2 5 2" xfId="1692" xr:uid="{00000000-0005-0000-0000-00003C010000}"/>
    <cellStyle name="40% - Énfasis3 2 6" xfId="1356" xr:uid="{00000000-0005-0000-0000-00003D010000}"/>
    <cellStyle name="40% - Énfasis3 3" xfId="486" xr:uid="{00000000-0005-0000-0000-00003E010000}"/>
    <cellStyle name="40% - Énfasis3 4" xfId="487" xr:uid="{00000000-0005-0000-0000-00003F010000}"/>
    <cellStyle name="40% - Énfasis3 5" xfId="488" xr:uid="{00000000-0005-0000-0000-000040010000}"/>
    <cellStyle name="40% - Énfasis3 6" xfId="489" xr:uid="{00000000-0005-0000-0000-000041010000}"/>
    <cellStyle name="40% - Énfasis3 7" xfId="490" xr:uid="{00000000-0005-0000-0000-000042010000}"/>
    <cellStyle name="40% - Énfasis3 8" xfId="491" xr:uid="{00000000-0005-0000-0000-000043010000}"/>
    <cellStyle name="40% - Énfasis3 9" xfId="492" xr:uid="{00000000-0005-0000-0000-000044010000}"/>
    <cellStyle name="40% - Énfasis4 10" xfId="493" xr:uid="{00000000-0005-0000-0000-000046010000}"/>
    <cellStyle name="40% - Énfasis4 11" xfId="893" xr:uid="{00000000-0005-0000-0000-000047010000}"/>
    <cellStyle name="40% - Énfasis4 11 2" xfId="1070" xr:uid="{00000000-0005-0000-0000-000048010000}"/>
    <cellStyle name="40% - Énfasis4 11 2 2" xfId="1529" xr:uid="{00000000-0005-0000-0000-000049010000}"/>
    <cellStyle name="40% - Énfasis4 11 3" xfId="1230" xr:uid="{00000000-0005-0000-0000-00004A010000}"/>
    <cellStyle name="40% - Énfasis4 11 3 2" xfId="1694" xr:uid="{00000000-0005-0000-0000-00004B010000}"/>
    <cellStyle name="40% - Énfasis4 11 4" xfId="1425" xr:uid="{00000000-0005-0000-0000-00004C010000}"/>
    <cellStyle name="40% - Énfasis4 12" xfId="1838" xr:uid="{00000000-0005-0000-0000-00004D010000}"/>
    <cellStyle name="40% - Énfasis4 2" xfId="355" xr:uid="{00000000-0005-0000-0000-00004E010000}"/>
    <cellStyle name="40% - Énfasis4 2 2" xfId="494" xr:uid="{00000000-0005-0000-0000-00004F010000}"/>
    <cellStyle name="40% - Énfasis4 2 3" xfId="988" xr:uid="{00000000-0005-0000-0000-000050010000}"/>
    <cellStyle name="40% - Énfasis4 2 3 2" xfId="1072" xr:uid="{00000000-0005-0000-0000-000051010000}"/>
    <cellStyle name="40% - Énfasis4 2 3 2 2" xfId="1531" xr:uid="{00000000-0005-0000-0000-000052010000}"/>
    <cellStyle name="40% - Énfasis4 2 3 3" xfId="1232" xr:uid="{00000000-0005-0000-0000-000053010000}"/>
    <cellStyle name="40% - Énfasis4 2 3 3 2" xfId="1696" xr:uid="{00000000-0005-0000-0000-000054010000}"/>
    <cellStyle name="40% - Énfasis4 2 3 4" xfId="1461" xr:uid="{00000000-0005-0000-0000-000055010000}"/>
    <cellStyle name="40% - Énfasis4 2 4" xfId="1071" xr:uid="{00000000-0005-0000-0000-000056010000}"/>
    <cellStyle name="40% - Énfasis4 2 4 2" xfId="1530" xr:uid="{00000000-0005-0000-0000-000057010000}"/>
    <cellStyle name="40% - Énfasis4 2 5" xfId="1231" xr:uid="{00000000-0005-0000-0000-000058010000}"/>
    <cellStyle name="40% - Énfasis4 2 5 2" xfId="1695" xr:uid="{00000000-0005-0000-0000-000059010000}"/>
    <cellStyle name="40% - Énfasis4 2 6" xfId="1358" xr:uid="{00000000-0005-0000-0000-00005A010000}"/>
    <cellStyle name="40% - Énfasis4 3" xfId="495" xr:uid="{00000000-0005-0000-0000-00005B010000}"/>
    <cellStyle name="40% - Énfasis4 4" xfId="496" xr:uid="{00000000-0005-0000-0000-00005C010000}"/>
    <cellStyle name="40% - Énfasis4 5" xfId="497" xr:uid="{00000000-0005-0000-0000-00005D010000}"/>
    <cellStyle name="40% - Énfasis4 6" xfId="498" xr:uid="{00000000-0005-0000-0000-00005E010000}"/>
    <cellStyle name="40% - Énfasis4 7" xfId="499" xr:uid="{00000000-0005-0000-0000-00005F010000}"/>
    <cellStyle name="40% - Énfasis4 8" xfId="500" xr:uid="{00000000-0005-0000-0000-000060010000}"/>
    <cellStyle name="40% - Énfasis4 9" xfId="501" xr:uid="{00000000-0005-0000-0000-000061010000}"/>
    <cellStyle name="40% - Énfasis5 10" xfId="502" xr:uid="{00000000-0005-0000-0000-000063010000}"/>
    <cellStyle name="40% - Énfasis5 11" xfId="895" xr:uid="{00000000-0005-0000-0000-000064010000}"/>
    <cellStyle name="40% - Énfasis5 11 2" xfId="1073" xr:uid="{00000000-0005-0000-0000-000065010000}"/>
    <cellStyle name="40% - Énfasis5 11 2 2" xfId="1532" xr:uid="{00000000-0005-0000-0000-000066010000}"/>
    <cellStyle name="40% - Énfasis5 11 3" xfId="1233" xr:uid="{00000000-0005-0000-0000-000067010000}"/>
    <cellStyle name="40% - Énfasis5 11 3 2" xfId="1697" xr:uid="{00000000-0005-0000-0000-000068010000}"/>
    <cellStyle name="40% - Énfasis5 11 4" xfId="1427" xr:uid="{00000000-0005-0000-0000-000069010000}"/>
    <cellStyle name="40% - Énfasis5 12" xfId="1840" xr:uid="{00000000-0005-0000-0000-00006A010000}"/>
    <cellStyle name="40% - Énfasis5 2" xfId="359" xr:uid="{00000000-0005-0000-0000-00006B010000}"/>
    <cellStyle name="40% - Énfasis5 2 2" xfId="503" xr:uid="{00000000-0005-0000-0000-00006C010000}"/>
    <cellStyle name="40% - Énfasis5 2 3" xfId="992" xr:uid="{00000000-0005-0000-0000-00006D010000}"/>
    <cellStyle name="40% - Énfasis5 2 3 2" xfId="1075" xr:uid="{00000000-0005-0000-0000-00006E010000}"/>
    <cellStyle name="40% - Énfasis5 2 3 2 2" xfId="1534" xr:uid="{00000000-0005-0000-0000-00006F010000}"/>
    <cellStyle name="40% - Énfasis5 2 3 3" xfId="1235" xr:uid="{00000000-0005-0000-0000-000070010000}"/>
    <cellStyle name="40% - Énfasis5 2 3 3 2" xfId="1699" xr:uid="{00000000-0005-0000-0000-000071010000}"/>
    <cellStyle name="40% - Énfasis5 2 3 4" xfId="1463" xr:uid="{00000000-0005-0000-0000-000072010000}"/>
    <cellStyle name="40% - Énfasis5 2 4" xfId="1074" xr:uid="{00000000-0005-0000-0000-000073010000}"/>
    <cellStyle name="40% - Énfasis5 2 4 2" xfId="1533" xr:uid="{00000000-0005-0000-0000-000074010000}"/>
    <cellStyle name="40% - Énfasis5 2 5" xfId="1234" xr:uid="{00000000-0005-0000-0000-000075010000}"/>
    <cellStyle name="40% - Énfasis5 2 5 2" xfId="1698" xr:uid="{00000000-0005-0000-0000-000076010000}"/>
    <cellStyle name="40% - Énfasis5 2 6" xfId="1360" xr:uid="{00000000-0005-0000-0000-000077010000}"/>
    <cellStyle name="40% - Énfasis5 3" xfId="504" xr:uid="{00000000-0005-0000-0000-000078010000}"/>
    <cellStyle name="40% - Énfasis5 4" xfId="505" xr:uid="{00000000-0005-0000-0000-000079010000}"/>
    <cellStyle name="40% - Énfasis5 5" xfId="506" xr:uid="{00000000-0005-0000-0000-00007A010000}"/>
    <cellStyle name="40% - Énfasis5 6" xfId="507" xr:uid="{00000000-0005-0000-0000-00007B010000}"/>
    <cellStyle name="40% - Énfasis5 7" xfId="508" xr:uid="{00000000-0005-0000-0000-00007C010000}"/>
    <cellStyle name="40% - Énfasis5 8" xfId="509" xr:uid="{00000000-0005-0000-0000-00007D010000}"/>
    <cellStyle name="40% - Énfasis5 9" xfId="510" xr:uid="{00000000-0005-0000-0000-00007E010000}"/>
    <cellStyle name="40% - Énfasis6 10" xfId="511" xr:uid="{00000000-0005-0000-0000-000080010000}"/>
    <cellStyle name="40% - Énfasis6 11" xfId="897" xr:uid="{00000000-0005-0000-0000-000081010000}"/>
    <cellStyle name="40% - Énfasis6 11 2" xfId="1076" xr:uid="{00000000-0005-0000-0000-000082010000}"/>
    <cellStyle name="40% - Énfasis6 11 2 2" xfId="1535" xr:uid="{00000000-0005-0000-0000-000083010000}"/>
    <cellStyle name="40% - Énfasis6 11 3" xfId="1236" xr:uid="{00000000-0005-0000-0000-000084010000}"/>
    <cellStyle name="40% - Énfasis6 11 3 2" xfId="1700" xr:uid="{00000000-0005-0000-0000-000085010000}"/>
    <cellStyle name="40% - Énfasis6 11 4" xfId="1429" xr:uid="{00000000-0005-0000-0000-000086010000}"/>
    <cellStyle name="40% - Énfasis6 12" xfId="1842" xr:uid="{00000000-0005-0000-0000-000087010000}"/>
    <cellStyle name="40% - Énfasis6 2" xfId="363" xr:uid="{00000000-0005-0000-0000-000088010000}"/>
    <cellStyle name="40% - Énfasis6 2 2" xfId="512" xr:uid="{00000000-0005-0000-0000-000089010000}"/>
    <cellStyle name="40% - Énfasis6 2 3" xfId="996" xr:uid="{00000000-0005-0000-0000-00008A010000}"/>
    <cellStyle name="40% - Énfasis6 2 3 2" xfId="1078" xr:uid="{00000000-0005-0000-0000-00008B010000}"/>
    <cellStyle name="40% - Énfasis6 2 3 2 2" xfId="1537" xr:uid="{00000000-0005-0000-0000-00008C010000}"/>
    <cellStyle name="40% - Énfasis6 2 3 3" xfId="1238" xr:uid="{00000000-0005-0000-0000-00008D010000}"/>
    <cellStyle name="40% - Énfasis6 2 3 3 2" xfId="1702" xr:uid="{00000000-0005-0000-0000-00008E010000}"/>
    <cellStyle name="40% - Énfasis6 2 3 4" xfId="1465" xr:uid="{00000000-0005-0000-0000-00008F010000}"/>
    <cellStyle name="40% - Énfasis6 2 4" xfId="1077" xr:uid="{00000000-0005-0000-0000-000090010000}"/>
    <cellStyle name="40% - Énfasis6 2 4 2" xfId="1536" xr:uid="{00000000-0005-0000-0000-000091010000}"/>
    <cellStyle name="40% - Énfasis6 2 5" xfId="1237" xr:uid="{00000000-0005-0000-0000-000092010000}"/>
    <cellStyle name="40% - Énfasis6 2 5 2" xfId="1701" xr:uid="{00000000-0005-0000-0000-000093010000}"/>
    <cellStyle name="40% - Énfasis6 2 6" xfId="1362" xr:uid="{00000000-0005-0000-0000-000094010000}"/>
    <cellStyle name="40% - Énfasis6 3" xfId="513" xr:uid="{00000000-0005-0000-0000-000095010000}"/>
    <cellStyle name="40% - Énfasis6 4" xfId="514" xr:uid="{00000000-0005-0000-0000-000096010000}"/>
    <cellStyle name="40% - Énfasis6 5" xfId="515" xr:uid="{00000000-0005-0000-0000-000097010000}"/>
    <cellStyle name="40% - Énfasis6 6" xfId="516" xr:uid="{00000000-0005-0000-0000-000098010000}"/>
    <cellStyle name="40% - Énfasis6 7" xfId="517" xr:uid="{00000000-0005-0000-0000-000099010000}"/>
    <cellStyle name="40% - Énfasis6 8" xfId="518" xr:uid="{00000000-0005-0000-0000-00009A010000}"/>
    <cellStyle name="40% - Énfasis6 9" xfId="519" xr:uid="{00000000-0005-0000-0000-00009B010000}"/>
    <cellStyle name="60% - Accent1" xfId="22" xr:uid="{00000000-0005-0000-0000-00009C010000}"/>
    <cellStyle name="60% - Accent2" xfId="26" xr:uid="{00000000-0005-0000-0000-00009D010000}"/>
    <cellStyle name="60% - Accent3" xfId="30" xr:uid="{00000000-0005-0000-0000-00009E010000}"/>
    <cellStyle name="60% - Accent4" xfId="34" xr:uid="{00000000-0005-0000-0000-00009F010000}"/>
    <cellStyle name="60% - Accent5" xfId="38" xr:uid="{00000000-0005-0000-0000-0000A0010000}"/>
    <cellStyle name="60% - Accent6" xfId="42" xr:uid="{00000000-0005-0000-0000-0000A1010000}"/>
    <cellStyle name="60% - Énfasis1 10" xfId="520" xr:uid="{00000000-0005-0000-0000-0000A3010000}"/>
    <cellStyle name="60% - Énfasis1 2" xfId="344" xr:uid="{00000000-0005-0000-0000-0000A4010000}"/>
    <cellStyle name="60% - Énfasis1 2 2" xfId="522" xr:uid="{00000000-0005-0000-0000-0000A5010000}"/>
    <cellStyle name="60% - Énfasis1 2 3" xfId="523" xr:uid="{00000000-0005-0000-0000-0000A6010000}"/>
    <cellStyle name="60% - Énfasis1 2 4" xfId="521" xr:uid="{00000000-0005-0000-0000-0000A7010000}"/>
    <cellStyle name="60% - Énfasis1 2 5" xfId="977" xr:uid="{00000000-0005-0000-0000-0000A8010000}"/>
    <cellStyle name="60% - Énfasis1 3" xfId="524" xr:uid="{00000000-0005-0000-0000-0000A9010000}"/>
    <cellStyle name="60% - Énfasis1 4" xfId="525" xr:uid="{00000000-0005-0000-0000-0000AA010000}"/>
    <cellStyle name="60% - Énfasis1 5" xfId="526" xr:uid="{00000000-0005-0000-0000-0000AB010000}"/>
    <cellStyle name="60% - Énfasis1 6" xfId="527" xr:uid="{00000000-0005-0000-0000-0000AC010000}"/>
    <cellStyle name="60% - Énfasis1 7" xfId="528" xr:uid="{00000000-0005-0000-0000-0000AD010000}"/>
    <cellStyle name="60% - Énfasis1 8" xfId="529" xr:uid="{00000000-0005-0000-0000-0000AE010000}"/>
    <cellStyle name="60% - Énfasis1 9" xfId="530" xr:uid="{00000000-0005-0000-0000-0000AF010000}"/>
    <cellStyle name="60% - Énfasis2 10" xfId="531" xr:uid="{00000000-0005-0000-0000-0000B1010000}"/>
    <cellStyle name="60% - Énfasis2 2" xfId="348" xr:uid="{00000000-0005-0000-0000-0000B2010000}"/>
    <cellStyle name="60% - Énfasis2 2 2" xfId="532" xr:uid="{00000000-0005-0000-0000-0000B3010000}"/>
    <cellStyle name="60% - Énfasis2 2 3" xfId="981" xr:uid="{00000000-0005-0000-0000-0000B4010000}"/>
    <cellStyle name="60% - Énfasis2 3" xfId="533" xr:uid="{00000000-0005-0000-0000-0000B5010000}"/>
    <cellStyle name="60% - Énfasis2 4" xfId="534" xr:uid="{00000000-0005-0000-0000-0000B6010000}"/>
    <cellStyle name="60% - Énfasis2 5" xfId="535" xr:uid="{00000000-0005-0000-0000-0000B7010000}"/>
    <cellStyle name="60% - Énfasis2 6" xfId="536" xr:uid="{00000000-0005-0000-0000-0000B8010000}"/>
    <cellStyle name="60% - Énfasis2 7" xfId="537" xr:uid="{00000000-0005-0000-0000-0000B9010000}"/>
    <cellStyle name="60% - Énfasis2 8" xfId="538" xr:uid="{00000000-0005-0000-0000-0000BA010000}"/>
    <cellStyle name="60% - Énfasis2 9" xfId="539" xr:uid="{00000000-0005-0000-0000-0000BB010000}"/>
    <cellStyle name="60% - Énfasis3 10" xfId="540" xr:uid="{00000000-0005-0000-0000-0000BD010000}"/>
    <cellStyle name="60% - Énfasis3 2" xfId="352" xr:uid="{00000000-0005-0000-0000-0000BE010000}"/>
    <cellStyle name="60% - Énfasis3 2 2" xfId="541" xr:uid="{00000000-0005-0000-0000-0000BF010000}"/>
    <cellStyle name="60% - Énfasis3 2 3" xfId="985" xr:uid="{00000000-0005-0000-0000-0000C0010000}"/>
    <cellStyle name="60% - Énfasis3 3" xfId="542" xr:uid="{00000000-0005-0000-0000-0000C1010000}"/>
    <cellStyle name="60% - Énfasis3 4" xfId="543" xr:uid="{00000000-0005-0000-0000-0000C2010000}"/>
    <cellStyle name="60% - Énfasis3 5" xfId="544" xr:uid="{00000000-0005-0000-0000-0000C3010000}"/>
    <cellStyle name="60% - Énfasis3 6" xfId="545" xr:uid="{00000000-0005-0000-0000-0000C4010000}"/>
    <cellStyle name="60% - Énfasis3 7" xfId="546" xr:uid="{00000000-0005-0000-0000-0000C5010000}"/>
    <cellStyle name="60% - Énfasis3 8" xfId="547" xr:uid="{00000000-0005-0000-0000-0000C6010000}"/>
    <cellStyle name="60% - Énfasis3 9" xfId="548" xr:uid="{00000000-0005-0000-0000-0000C7010000}"/>
    <cellStyle name="60% - Énfasis4 10" xfId="549" xr:uid="{00000000-0005-0000-0000-0000C9010000}"/>
    <cellStyle name="60% - Énfasis4 2" xfId="356" xr:uid="{00000000-0005-0000-0000-0000CA010000}"/>
    <cellStyle name="60% - Énfasis4 2 2" xfId="550" xr:uid="{00000000-0005-0000-0000-0000CB010000}"/>
    <cellStyle name="60% - Énfasis4 2 3" xfId="989" xr:uid="{00000000-0005-0000-0000-0000CC010000}"/>
    <cellStyle name="60% - Énfasis4 3" xfId="551" xr:uid="{00000000-0005-0000-0000-0000CD010000}"/>
    <cellStyle name="60% - Énfasis4 4" xfId="552" xr:uid="{00000000-0005-0000-0000-0000CE010000}"/>
    <cellStyle name="60% - Énfasis4 5" xfId="553" xr:uid="{00000000-0005-0000-0000-0000CF010000}"/>
    <cellStyle name="60% - Énfasis4 6" xfId="554" xr:uid="{00000000-0005-0000-0000-0000D0010000}"/>
    <cellStyle name="60% - Énfasis4 7" xfId="555" xr:uid="{00000000-0005-0000-0000-0000D1010000}"/>
    <cellStyle name="60% - Énfasis4 8" xfId="556" xr:uid="{00000000-0005-0000-0000-0000D2010000}"/>
    <cellStyle name="60% - Énfasis4 9" xfId="557" xr:uid="{00000000-0005-0000-0000-0000D3010000}"/>
    <cellStyle name="60% - Énfasis5 10" xfId="558" xr:uid="{00000000-0005-0000-0000-0000D5010000}"/>
    <cellStyle name="60% - Énfasis5 2" xfId="360" xr:uid="{00000000-0005-0000-0000-0000D6010000}"/>
    <cellStyle name="60% - Énfasis5 2 2" xfId="559" xr:uid="{00000000-0005-0000-0000-0000D7010000}"/>
    <cellStyle name="60% - Énfasis5 2 3" xfId="993" xr:uid="{00000000-0005-0000-0000-0000D8010000}"/>
    <cellStyle name="60% - Énfasis5 3" xfId="560" xr:uid="{00000000-0005-0000-0000-0000D9010000}"/>
    <cellStyle name="60% - Énfasis5 4" xfId="561" xr:uid="{00000000-0005-0000-0000-0000DA010000}"/>
    <cellStyle name="60% - Énfasis5 5" xfId="562" xr:uid="{00000000-0005-0000-0000-0000DB010000}"/>
    <cellStyle name="60% - Énfasis5 6" xfId="563" xr:uid="{00000000-0005-0000-0000-0000DC010000}"/>
    <cellStyle name="60% - Énfasis5 7" xfId="564" xr:uid="{00000000-0005-0000-0000-0000DD010000}"/>
    <cellStyle name="60% - Énfasis5 8" xfId="565" xr:uid="{00000000-0005-0000-0000-0000DE010000}"/>
    <cellStyle name="60% - Énfasis5 9" xfId="566" xr:uid="{00000000-0005-0000-0000-0000DF010000}"/>
    <cellStyle name="60% - Énfasis6 10" xfId="567" xr:uid="{00000000-0005-0000-0000-0000E1010000}"/>
    <cellStyle name="60% - Énfasis6 2" xfId="364" xr:uid="{00000000-0005-0000-0000-0000E2010000}"/>
    <cellStyle name="60% - Énfasis6 2 2" xfId="568" xr:uid="{00000000-0005-0000-0000-0000E3010000}"/>
    <cellStyle name="60% - Énfasis6 2 3" xfId="997" xr:uid="{00000000-0005-0000-0000-0000E4010000}"/>
    <cellStyle name="60% - Énfasis6 3" xfId="569" xr:uid="{00000000-0005-0000-0000-0000E5010000}"/>
    <cellStyle name="60% - Énfasis6 4" xfId="570" xr:uid="{00000000-0005-0000-0000-0000E6010000}"/>
    <cellStyle name="60% - Énfasis6 5" xfId="571" xr:uid="{00000000-0005-0000-0000-0000E7010000}"/>
    <cellStyle name="60% - Énfasis6 6" xfId="572" xr:uid="{00000000-0005-0000-0000-0000E8010000}"/>
    <cellStyle name="60% - Énfasis6 7" xfId="573" xr:uid="{00000000-0005-0000-0000-0000E9010000}"/>
    <cellStyle name="60% - Énfasis6 8" xfId="574" xr:uid="{00000000-0005-0000-0000-0000EA010000}"/>
    <cellStyle name="60% - Énfasis6 9" xfId="575" xr:uid="{00000000-0005-0000-0000-0000EB010000}"/>
    <cellStyle name="Accent1" xfId="19" xr:uid="{00000000-0005-0000-0000-0000EC010000}"/>
    <cellStyle name="Accent2" xfId="23" xr:uid="{00000000-0005-0000-0000-0000ED010000}"/>
    <cellStyle name="Accent3" xfId="27" xr:uid="{00000000-0005-0000-0000-0000EE010000}"/>
    <cellStyle name="Accent4" xfId="31" xr:uid="{00000000-0005-0000-0000-0000EF010000}"/>
    <cellStyle name="Accent5" xfId="35" xr:uid="{00000000-0005-0000-0000-0000F0010000}"/>
    <cellStyle name="Accent6" xfId="39" xr:uid="{00000000-0005-0000-0000-0000F1010000}"/>
    <cellStyle name="Bad" xfId="13" xr:uid="{00000000-0005-0000-0000-0000F2010000}"/>
    <cellStyle name="Base 0 dec" xfId="58" xr:uid="{00000000-0005-0000-0000-0000F3010000}"/>
    <cellStyle name="Base 0 dec 2" xfId="59" xr:uid="{00000000-0005-0000-0000-0000F4010000}"/>
    <cellStyle name="Base 0 dec 3" xfId="60" xr:uid="{00000000-0005-0000-0000-0000F5010000}"/>
    <cellStyle name="Base 1 dec" xfId="61" xr:uid="{00000000-0005-0000-0000-0000F6010000}"/>
    <cellStyle name="Base 1 dec 2" xfId="62" xr:uid="{00000000-0005-0000-0000-0000F7010000}"/>
    <cellStyle name="Base 1 dec 3" xfId="63" xr:uid="{00000000-0005-0000-0000-0000F8010000}"/>
    <cellStyle name="Base 2 dec" xfId="64" xr:uid="{00000000-0005-0000-0000-0000F9010000}"/>
    <cellStyle name="Base 2 dec 2" xfId="65" xr:uid="{00000000-0005-0000-0000-0000FA010000}"/>
    <cellStyle name="Base 2 dec 3" xfId="66" xr:uid="{00000000-0005-0000-0000-0000FB010000}"/>
    <cellStyle name="Buena 10" xfId="576" xr:uid="{00000000-0005-0000-0000-0000FC010000}"/>
    <cellStyle name="Buena 2" xfId="336" xr:uid="{00000000-0005-0000-0000-0000FD010000}"/>
    <cellStyle name="Buena 2 2" xfId="577" xr:uid="{00000000-0005-0000-0000-0000FE010000}"/>
    <cellStyle name="Buena 2 3" xfId="969" xr:uid="{00000000-0005-0000-0000-0000FF010000}"/>
    <cellStyle name="Buena 3" xfId="578" xr:uid="{00000000-0005-0000-0000-000000020000}"/>
    <cellStyle name="Buena 4" xfId="579" xr:uid="{00000000-0005-0000-0000-000001020000}"/>
    <cellStyle name="Buena 5" xfId="580" xr:uid="{00000000-0005-0000-0000-000002020000}"/>
    <cellStyle name="Buena 6" xfId="581" xr:uid="{00000000-0005-0000-0000-000003020000}"/>
    <cellStyle name="Buena 7" xfId="582" xr:uid="{00000000-0005-0000-0000-000004020000}"/>
    <cellStyle name="Buena 8" xfId="583" xr:uid="{00000000-0005-0000-0000-000005020000}"/>
    <cellStyle name="Buena 9" xfId="584" xr:uid="{00000000-0005-0000-0000-000006020000}"/>
    <cellStyle name="Calculation" xfId="16" xr:uid="{00000000-0005-0000-0000-000008020000}"/>
    <cellStyle name="Calculation 2" xfId="872" xr:uid="{00000000-0005-0000-0000-000009020000}"/>
    <cellStyle name="Calculation 2 2" xfId="849" xr:uid="{00000000-0005-0000-0000-00000A020000}"/>
    <cellStyle name="Calculation 3" xfId="904" xr:uid="{00000000-0005-0000-0000-00000B020000}"/>
    <cellStyle name="Cálculo 10" xfId="585" xr:uid="{00000000-0005-0000-0000-00000D020000}"/>
    <cellStyle name="Cálculo 10 2" xfId="907" xr:uid="{00000000-0005-0000-0000-00000E020000}"/>
    <cellStyle name="Cálculo 2" xfId="586" xr:uid="{00000000-0005-0000-0000-00000F020000}"/>
    <cellStyle name="Cálculo 2 2" xfId="908" xr:uid="{00000000-0005-0000-0000-000010020000}"/>
    <cellStyle name="Cálculo 3" xfId="587" xr:uid="{00000000-0005-0000-0000-000011020000}"/>
    <cellStyle name="Cálculo 3 2" xfId="909" xr:uid="{00000000-0005-0000-0000-000012020000}"/>
    <cellStyle name="Cálculo 4" xfId="588" xr:uid="{00000000-0005-0000-0000-000013020000}"/>
    <cellStyle name="Cálculo 4 2" xfId="910" xr:uid="{00000000-0005-0000-0000-000014020000}"/>
    <cellStyle name="Cálculo 5" xfId="589" xr:uid="{00000000-0005-0000-0000-000015020000}"/>
    <cellStyle name="Cálculo 5 2" xfId="911" xr:uid="{00000000-0005-0000-0000-000016020000}"/>
    <cellStyle name="Cálculo 6" xfId="590" xr:uid="{00000000-0005-0000-0000-000017020000}"/>
    <cellStyle name="Cálculo 6 2" xfId="912" xr:uid="{00000000-0005-0000-0000-000018020000}"/>
    <cellStyle name="Cálculo 7" xfId="591" xr:uid="{00000000-0005-0000-0000-000019020000}"/>
    <cellStyle name="Cálculo 7 2" xfId="913" xr:uid="{00000000-0005-0000-0000-00001A020000}"/>
    <cellStyle name="Cálculo 8" xfId="592" xr:uid="{00000000-0005-0000-0000-00001B020000}"/>
    <cellStyle name="Cálculo 8 2" xfId="914" xr:uid="{00000000-0005-0000-0000-00001C020000}"/>
    <cellStyle name="Cálculo 9" xfId="593" xr:uid="{00000000-0005-0000-0000-00001D020000}"/>
    <cellStyle name="Cálculo 9 2" xfId="915" xr:uid="{00000000-0005-0000-0000-00001E020000}"/>
    <cellStyle name="Capitulo" xfId="67" xr:uid="{00000000-0005-0000-0000-00001F020000}"/>
    <cellStyle name="Capitulo 2" xfId="68" xr:uid="{00000000-0005-0000-0000-000020020000}"/>
    <cellStyle name="Celda de comprobación 10" xfId="594" xr:uid="{00000000-0005-0000-0000-000022020000}"/>
    <cellStyle name="Celda de comprobación 2" xfId="595" xr:uid="{00000000-0005-0000-0000-000023020000}"/>
    <cellStyle name="Celda de comprobación 3" xfId="596" xr:uid="{00000000-0005-0000-0000-000024020000}"/>
    <cellStyle name="Celda de comprobación 4" xfId="597" xr:uid="{00000000-0005-0000-0000-000025020000}"/>
    <cellStyle name="Celda de comprobación 5" xfId="598" xr:uid="{00000000-0005-0000-0000-000026020000}"/>
    <cellStyle name="Celda de comprobación 6" xfId="599" xr:uid="{00000000-0005-0000-0000-000027020000}"/>
    <cellStyle name="Celda de comprobación 7" xfId="600" xr:uid="{00000000-0005-0000-0000-000028020000}"/>
    <cellStyle name="Celda de comprobación 8" xfId="601" xr:uid="{00000000-0005-0000-0000-000029020000}"/>
    <cellStyle name="Celda de comprobación 9" xfId="602" xr:uid="{00000000-0005-0000-0000-00002A020000}"/>
    <cellStyle name="Celda vinculada 10" xfId="603" xr:uid="{00000000-0005-0000-0000-00002C020000}"/>
    <cellStyle name="Celda vinculada 2" xfId="604" xr:uid="{00000000-0005-0000-0000-00002D020000}"/>
    <cellStyle name="Celda vinculada 3" xfId="605" xr:uid="{00000000-0005-0000-0000-00002E020000}"/>
    <cellStyle name="Celda vinculada 4" xfId="606" xr:uid="{00000000-0005-0000-0000-00002F020000}"/>
    <cellStyle name="Celda vinculada 5" xfId="607" xr:uid="{00000000-0005-0000-0000-000030020000}"/>
    <cellStyle name="Celda vinculada 6" xfId="608" xr:uid="{00000000-0005-0000-0000-000031020000}"/>
    <cellStyle name="Celda vinculada 7" xfId="609" xr:uid="{00000000-0005-0000-0000-000032020000}"/>
    <cellStyle name="Celda vinculada 8" xfId="610" xr:uid="{00000000-0005-0000-0000-000033020000}"/>
    <cellStyle name="Celda vinculada 9" xfId="611" xr:uid="{00000000-0005-0000-0000-000034020000}"/>
    <cellStyle name="Check Cell" xfId="612" builtinId="23" customBuiltin="1"/>
    <cellStyle name="Comma" xfId="613" xr:uid="{00000000-0005-0000-0000-000036020000}"/>
    <cellStyle name="Comma 2" xfId="5" xr:uid="{00000000-0005-0000-0000-000037020000}"/>
    <cellStyle name="Currency" xfId="614" xr:uid="{00000000-0005-0000-0000-000038020000}"/>
    <cellStyle name="Date" xfId="615" xr:uid="{00000000-0005-0000-0000-000039020000}"/>
    <cellStyle name="Descripciones" xfId="69" xr:uid="{00000000-0005-0000-0000-00003A020000}"/>
    <cellStyle name="Enc. der" xfId="70" xr:uid="{00000000-0005-0000-0000-00003B020000}"/>
    <cellStyle name="Enc. izq" xfId="71" xr:uid="{00000000-0005-0000-0000-00003C020000}"/>
    <cellStyle name="Encabezado 4 10" xfId="616" xr:uid="{00000000-0005-0000-0000-00003E020000}"/>
    <cellStyle name="Encabezado 4 2" xfId="327" xr:uid="{00000000-0005-0000-0000-00003F020000}"/>
    <cellStyle name="Encabezado 4 2 2" xfId="617" xr:uid="{00000000-0005-0000-0000-000040020000}"/>
    <cellStyle name="Encabezado 4 2 3" xfId="968" xr:uid="{00000000-0005-0000-0000-000041020000}"/>
    <cellStyle name="Encabezado 4 2 4" xfId="335" xr:uid="{00000000-0005-0000-0000-000042020000}"/>
    <cellStyle name="Encabezado 4 3" xfId="618" xr:uid="{00000000-0005-0000-0000-000043020000}"/>
    <cellStyle name="Encabezado 4 4" xfId="619" xr:uid="{00000000-0005-0000-0000-000044020000}"/>
    <cellStyle name="Encabezado 4 5" xfId="620" xr:uid="{00000000-0005-0000-0000-000045020000}"/>
    <cellStyle name="Encabezado 4 6" xfId="621" xr:uid="{00000000-0005-0000-0000-000046020000}"/>
    <cellStyle name="Encabezado 4 7" xfId="622" xr:uid="{00000000-0005-0000-0000-000047020000}"/>
    <cellStyle name="Encabezado 4 8" xfId="623" xr:uid="{00000000-0005-0000-0000-000048020000}"/>
    <cellStyle name="Encabezado 4 9" xfId="624" xr:uid="{00000000-0005-0000-0000-000049020000}"/>
    <cellStyle name="Énfasis1 10" xfId="625" xr:uid="{00000000-0005-0000-0000-00004B020000}"/>
    <cellStyle name="Énfasis1 2" xfId="341" xr:uid="{00000000-0005-0000-0000-00004C020000}"/>
    <cellStyle name="Énfasis1 2 2" xfId="626" xr:uid="{00000000-0005-0000-0000-00004D020000}"/>
    <cellStyle name="Énfasis1 2 3" xfId="627" xr:uid="{00000000-0005-0000-0000-00004E020000}"/>
    <cellStyle name="Énfasis1 3" xfId="628" xr:uid="{00000000-0005-0000-0000-00004F020000}"/>
    <cellStyle name="Énfasis1 3 2" xfId="629" xr:uid="{00000000-0005-0000-0000-000050020000}"/>
    <cellStyle name="Énfasis1 3 3" xfId="630" xr:uid="{00000000-0005-0000-0000-000051020000}"/>
    <cellStyle name="Énfasis1 4" xfId="631" xr:uid="{00000000-0005-0000-0000-000052020000}"/>
    <cellStyle name="Énfasis1 5" xfId="632" xr:uid="{00000000-0005-0000-0000-000053020000}"/>
    <cellStyle name="Énfasis1 6" xfId="633" xr:uid="{00000000-0005-0000-0000-000054020000}"/>
    <cellStyle name="Énfasis1 7" xfId="634" xr:uid="{00000000-0005-0000-0000-000055020000}"/>
    <cellStyle name="Énfasis1 8" xfId="635" xr:uid="{00000000-0005-0000-0000-000056020000}"/>
    <cellStyle name="Énfasis1 9" xfId="636" xr:uid="{00000000-0005-0000-0000-000057020000}"/>
    <cellStyle name="Énfasis2 10" xfId="637" xr:uid="{00000000-0005-0000-0000-000059020000}"/>
    <cellStyle name="Énfasis2 2" xfId="345" xr:uid="{00000000-0005-0000-0000-00005A020000}"/>
    <cellStyle name="Énfasis2 2 2" xfId="638" xr:uid="{00000000-0005-0000-0000-00005B020000}"/>
    <cellStyle name="Énfasis2 2 3" xfId="978" xr:uid="{00000000-0005-0000-0000-00005C020000}"/>
    <cellStyle name="Énfasis2 3" xfId="639" xr:uid="{00000000-0005-0000-0000-00005D020000}"/>
    <cellStyle name="Énfasis2 4" xfId="640" xr:uid="{00000000-0005-0000-0000-00005E020000}"/>
    <cellStyle name="Énfasis2 5" xfId="641" xr:uid="{00000000-0005-0000-0000-00005F020000}"/>
    <cellStyle name="Énfasis2 6" xfId="642" xr:uid="{00000000-0005-0000-0000-000060020000}"/>
    <cellStyle name="Énfasis2 7" xfId="643" xr:uid="{00000000-0005-0000-0000-000061020000}"/>
    <cellStyle name="Énfasis2 8" xfId="644" xr:uid="{00000000-0005-0000-0000-000062020000}"/>
    <cellStyle name="Énfasis2 9" xfId="645" xr:uid="{00000000-0005-0000-0000-000063020000}"/>
    <cellStyle name="Énfasis3 10" xfId="646" xr:uid="{00000000-0005-0000-0000-000065020000}"/>
    <cellStyle name="Énfasis3 2" xfId="349" xr:uid="{00000000-0005-0000-0000-000066020000}"/>
    <cellStyle name="Énfasis3 2 2" xfId="647" xr:uid="{00000000-0005-0000-0000-000067020000}"/>
    <cellStyle name="Énfasis3 2 3" xfId="982" xr:uid="{00000000-0005-0000-0000-000068020000}"/>
    <cellStyle name="Énfasis3 3" xfId="648" xr:uid="{00000000-0005-0000-0000-000069020000}"/>
    <cellStyle name="Énfasis3 4" xfId="649" xr:uid="{00000000-0005-0000-0000-00006A020000}"/>
    <cellStyle name="Énfasis3 5" xfId="650" xr:uid="{00000000-0005-0000-0000-00006B020000}"/>
    <cellStyle name="Énfasis3 6" xfId="651" xr:uid="{00000000-0005-0000-0000-00006C020000}"/>
    <cellStyle name="Énfasis3 7" xfId="652" xr:uid="{00000000-0005-0000-0000-00006D020000}"/>
    <cellStyle name="Énfasis3 8" xfId="653" xr:uid="{00000000-0005-0000-0000-00006E020000}"/>
    <cellStyle name="Énfasis3 9" xfId="654" xr:uid="{00000000-0005-0000-0000-00006F020000}"/>
    <cellStyle name="Énfasis4 10" xfId="655" xr:uid="{00000000-0005-0000-0000-000071020000}"/>
    <cellStyle name="Énfasis4 2" xfId="353" xr:uid="{00000000-0005-0000-0000-000072020000}"/>
    <cellStyle name="Énfasis4 2 2" xfId="656" xr:uid="{00000000-0005-0000-0000-000073020000}"/>
    <cellStyle name="Énfasis4 2 3" xfId="986" xr:uid="{00000000-0005-0000-0000-000074020000}"/>
    <cellStyle name="Énfasis4 3" xfId="657" xr:uid="{00000000-0005-0000-0000-000075020000}"/>
    <cellStyle name="Énfasis4 4" xfId="658" xr:uid="{00000000-0005-0000-0000-000076020000}"/>
    <cellStyle name="Énfasis4 5" xfId="659" xr:uid="{00000000-0005-0000-0000-000077020000}"/>
    <cellStyle name="Énfasis4 6" xfId="660" xr:uid="{00000000-0005-0000-0000-000078020000}"/>
    <cellStyle name="Énfasis4 7" xfId="661" xr:uid="{00000000-0005-0000-0000-000079020000}"/>
    <cellStyle name="Énfasis4 8" xfId="662" xr:uid="{00000000-0005-0000-0000-00007A020000}"/>
    <cellStyle name="Énfasis4 9" xfId="663" xr:uid="{00000000-0005-0000-0000-00007B020000}"/>
    <cellStyle name="Énfasis5 10" xfId="664" xr:uid="{00000000-0005-0000-0000-00007D020000}"/>
    <cellStyle name="Énfasis5 2" xfId="357" xr:uid="{00000000-0005-0000-0000-00007E020000}"/>
    <cellStyle name="Énfasis5 2 2" xfId="665" xr:uid="{00000000-0005-0000-0000-00007F020000}"/>
    <cellStyle name="Énfasis5 2 3" xfId="990" xr:uid="{00000000-0005-0000-0000-000080020000}"/>
    <cellStyle name="Énfasis5 3" xfId="666" xr:uid="{00000000-0005-0000-0000-000081020000}"/>
    <cellStyle name="Énfasis5 4" xfId="667" xr:uid="{00000000-0005-0000-0000-000082020000}"/>
    <cellStyle name="Énfasis5 5" xfId="668" xr:uid="{00000000-0005-0000-0000-000083020000}"/>
    <cellStyle name="Énfasis5 6" xfId="669" xr:uid="{00000000-0005-0000-0000-000084020000}"/>
    <cellStyle name="Énfasis5 7" xfId="670" xr:uid="{00000000-0005-0000-0000-000085020000}"/>
    <cellStyle name="Énfasis5 8" xfId="671" xr:uid="{00000000-0005-0000-0000-000086020000}"/>
    <cellStyle name="Énfasis5 9" xfId="672" xr:uid="{00000000-0005-0000-0000-000087020000}"/>
    <cellStyle name="Énfasis6 10" xfId="673" xr:uid="{00000000-0005-0000-0000-000089020000}"/>
    <cellStyle name="Énfasis6 2" xfId="361" xr:uid="{00000000-0005-0000-0000-00008A020000}"/>
    <cellStyle name="Énfasis6 2 2" xfId="674" xr:uid="{00000000-0005-0000-0000-00008B020000}"/>
    <cellStyle name="Énfasis6 2 3" xfId="994" xr:uid="{00000000-0005-0000-0000-00008C020000}"/>
    <cellStyle name="Énfasis6 3" xfId="675" xr:uid="{00000000-0005-0000-0000-00008D020000}"/>
    <cellStyle name="Énfasis6 4" xfId="676" xr:uid="{00000000-0005-0000-0000-00008E020000}"/>
    <cellStyle name="Énfasis6 5" xfId="677" xr:uid="{00000000-0005-0000-0000-00008F020000}"/>
    <cellStyle name="Énfasis6 6" xfId="678" xr:uid="{00000000-0005-0000-0000-000090020000}"/>
    <cellStyle name="Énfasis6 7" xfId="679" xr:uid="{00000000-0005-0000-0000-000091020000}"/>
    <cellStyle name="Énfasis6 8" xfId="680" xr:uid="{00000000-0005-0000-0000-000092020000}"/>
    <cellStyle name="Énfasis6 9" xfId="681" xr:uid="{00000000-0005-0000-0000-000093020000}"/>
    <cellStyle name="Entrada 10" xfId="682" xr:uid="{00000000-0005-0000-0000-000095020000}"/>
    <cellStyle name="Entrada 10 2" xfId="916" xr:uid="{00000000-0005-0000-0000-000096020000}"/>
    <cellStyle name="Entrada 2" xfId="683" xr:uid="{00000000-0005-0000-0000-000097020000}"/>
    <cellStyle name="Entrada 2 2" xfId="917" xr:uid="{00000000-0005-0000-0000-000098020000}"/>
    <cellStyle name="Entrada 3" xfId="684" xr:uid="{00000000-0005-0000-0000-000099020000}"/>
    <cellStyle name="Entrada 3 2" xfId="918" xr:uid="{00000000-0005-0000-0000-00009A020000}"/>
    <cellStyle name="Entrada 4" xfId="685" xr:uid="{00000000-0005-0000-0000-00009B020000}"/>
    <cellStyle name="Entrada 4 2" xfId="919" xr:uid="{00000000-0005-0000-0000-00009C020000}"/>
    <cellStyle name="Entrada 5" xfId="686" xr:uid="{00000000-0005-0000-0000-00009D020000}"/>
    <cellStyle name="Entrada 5 2" xfId="920" xr:uid="{00000000-0005-0000-0000-00009E020000}"/>
    <cellStyle name="Entrada 6" xfId="687" xr:uid="{00000000-0005-0000-0000-00009F020000}"/>
    <cellStyle name="Entrada 6 2" xfId="921" xr:uid="{00000000-0005-0000-0000-0000A0020000}"/>
    <cellStyle name="Entrada 7" xfId="688" xr:uid="{00000000-0005-0000-0000-0000A1020000}"/>
    <cellStyle name="Entrada 7 2" xfId="922" xr:uid="{00000000-0005-0000-0000-0000A2020000}"/>
    <cellStyle name="Entrada 8" xfId="689" xr:uid="{00000000-0005-0000-0000-0000A3020000}"/>
    <cellStyle name="Entrada 8 2" xfId="923" xr:uid="{00000000-0005-0000-0000-0000A4020000}"/>
    <cellStyle name="Entrada 9" xfId="690" xr:uid="{00000000-0005-0000-0000-0000A5020000}"/>
    <cellStyle name="Entrada 9 2" xfId="924" xr:uid="{00000000-0005-0000-0000-0000A6020000}"/>
    <cellStyle name="Estilo 1" xfId="691" xr:uid="{00000000-0005-0000-0000-0000A7020000}"/>
    <cellStyle name="Estilo 1 2" xfId="855" xr:uid="{00000000-0005-0000-0000-0000A8020000}"/>
    <cellStyle name="Etiqueta" xfId="72" xr:uid="{00000000-0005-0000-0000-0000A9020000}"/>
    <cellStyle name="Euro" xfId="73" xr:uid="{00000000-0005-0000-0000-0000AA020000}"/>
    <cellStyle name="Euro 2" xfId="850" xr:uid="{00000000-0005-0000-0000-0000AB020000}"/>
    <cellStyle name="Explanatory Text" xfId="17" xr:uid="{00000000-0005-0000-0000-0000AC020000}"/>
    <cellStyle name="F2" xfId="692" xr:uid="{00000000-0005-0000-0000-0000AD020000}"/>
    <cellStyle name="F3" xfId="693" xr:uid="{00000000-0005-0000-0000-0000AE020000}"/>
    <cellStyle name="F4" xfId="694" xr:uid="{00000000-0005-0000-0000-0000AF020000}"/>
    <cellStyle name="F5" xfId="695" xr:uid="{00000000-0005-0000-0000-0000B0020000}"/>
    <cellStyle name="F6" xfId="696" xr:uid="{00000000-0005-0000-0000-0000B1020000}"/>
    <cellStyle name="F7" xfId="697" xr:uid="{00000000-0005-0000-0000-0000B2020000}"/>
    <cellStyle name="F8" xfId="698" xr:uid="{00000000-0005-0000-0000-0000B3020000}"/>
    <cellStyle name="Fixed" xfId="699" xr:uid="{00000000-0005-0000-0000-0000B4020000}"/>
    <cellStyle name="Good" xfId="700" builtinId="26" customBuiltin="1"/>
    <cellStyle name="Heading 1" xfId="701" builtinId="16" customBuiltin="1"/>
    <cellStyle name="Heading 2" xfId="11" xr:uid="{00000000-0005-0000-0000-0000B7020000}"/>
    <cellStyle name="Heading 3" xfId="12" xr:uid="{00000000-0005-0000-0000-0000B8020000}"/>
    <cellStyle name="Heading 4" xfId="702" xr:uid="{00000000-0005-0000-0000-0000B9020000}"/>
    <cellStyle name="Heading1" xfId="703" xr:uid="{00000000-0005-0000-0000-0000BA020000}"/>
    <cellStyle name="Heading2" xfId="704" xr:uid="{00000000-0005-0000-0000-0000BB020000}"/>
    <cellStyle name="Hipervínculo 2" xfId="45" xr:uid="{00000000-0005-0000-0000-0000BC020000}"/>
    <cellStyle name="Hipervínculo 2 2" xfId="74" xr:uid="{00000000-0005-0000-0000-0000BD020000}"/>
    <cellStyle name="Hipervínculo 2 2 2" xfId="75" xr:uid="{00000000-0005-0000-0000-0000BE020000}"/>
    <cellStyle name="Hipervínculo 2 2 3" xfId="366" xr:uid="{00000000-0005-0000-0000-0000BF020000}"/>
    <cellStyle name="Hipervínculo 3" xfId="49" xr:uid="{00000000-0005-0000-0000-0000C0020000}"/>
    <cellStyle name="Hipervínculo 3 2" xfId="76" xr:uid="{00000000-0005-0000-0000-0000C1020000}"/>
    <cellStyle name="Hipervínculo 3 3" xfId="330" xr:uid="{00000000-0005-0000-0000-0000C2020000}"/>
    <cellStyle name="Hipervínculo 4" xfId="77" xr:uid="{00000000-0005-0000-0000-0000C3020000}"/>
    <cellStyle name="Hipervínculo 4 2" xfId="1034" xr:uid="{00000000-0005-0000-0000-0000C4020000}"/>
    <cellStyle name="Hipervínculo 5" xfId="365" xr:uid="{00000000-0005-0000-0000-0000C5020000}"/>
    <cellStyle name="Hipervínculo 6" xfId="43" xr:uid="{00000000-0005-0000-0000-0000C6020000}"/>
    <cellStyle name="Incorrecto 10" xfId="705" xr:uid="{00000000-0005-0000-0000-0000C8020000}"/>
    <cellStyle name="Incorrecto 2" xfId="337" xr:uid="{00000000-0005-0000-0000-0000C9020000}"/>
    <cellStyle name="Incorrecto 2 2" xfId="706" xr:uid="{00000000-0005-0000-0000-0000CA020000}"/>
    <cellStyle name="Incorrecto 2 3" xfId="970" xr:uid="{00000000-0005-0000-0000-0000CB020000}"/>
    <cellStyle name="Incorrecto 3" xfId="707" xr:uid="{00000000-0005-0000-0000-0000CC020000}"/>
    <cellStyle name="Incorrecto 4" xfId="708" xr:uid="{00000000-0005-0000-0000-0000CD020000}"/>
    <cellStyle name="Incorrecto 5" xfId="709" xr:uid="{00000000-0005-0000-0000-0000CE020000}"/>
    <cellStyle name="Incorrecto 6" xfId="710" xr:uid="{00000000-0005-0000-0000-0000CF020000}"/>
    <cellStyle name="Incorrecto 7" xfId="711" xr:uid="{00000000-0005-0000-0000-0000D0020000}"/>
    <cellStyle name="Incorrecto 8" xfId="712" xr:uid="{00000000-0005-0000-0000-0000D1020000}"/>
    <cellStyle name="Incorrecto 9" xfId="713" xr:uid="{00000000-0005-0000-0000-0000D2020000}"/>
    <cellStyle name="Input" xfId="714" builtinId="20" customBuiltin="1"/>
    <cellStyle name="Input 2" xfId="871" xr:uid="{00000000-0005-0000-0000-0000D4020000}"/>
    <cellStyle name="Input 2 2" xfId="848" xr:uid="{00000000-0005-0000-0000-0000D5020000}"/>
    <cellStyle name="Input 3" xfId="842" xr:uid="{00000000-0005-0000-0000-0000D6020000}"/>
    <cellStyle name="Linea Inferior" xfId="78" xr:uid="{00000000-0005-0000-0000-0000D7020000}"/>
    <cellStyle name="Linea Superior" xfId="79" xr:uid="{00000000-0005-0000-0000-0000D8020000}"/>
    <cellStyle name="Linea Superior 2" xfId="1849" xr:uid="{00000000-0005-0000-0000-0000D9020000}"/>
    <cellStyle name="Linea Tipo" xfId="80" xr:uid="{00000000-0005-0000-0000-0000DA020000}"/>
    <cellStyle name="Linked Cell" xfId="715" builtinId="24" customBuiltin="1"/>
    <cellStyle name="M?neda [0]_enss005" xfId="81" xr:uid="{00000000-0005-0000-0000-0000DC020000}"/>
    <cellStyle name="M⏯neda [0]_enss005" xfId="82" xr:uid="{00000000-0005-0000-0000-0000DD020000}"/>
    <cellStyle name="Millares 10" xfId="882" xr:uid="{00000000-0005-0000-0000-0000DF020000}"/>
    <cellStyle name="Millares 10 2" xfId="1079" xr:uid="{00000000-0005-0000-0000-0000E0020000}"/>
    <cellStyle name="Millares 10 2 2" xfId="1538" xr:uid="{00000000-0005-0000-0000-0000E1020000}"/>
    <cellStyle name="Millares 10 3" xfId="1239" xr:uid="{00000000-0005-0000-0000-0000E2020000}"/>
    <cellStyle name="Millares 10 3 2" xfId="1703" xr:uid="{00000000-0005-0000-0000-0000E3020000}"/>
    <cellStyle name="Millares 10 4" xfId="1415" xr:uid="{00000000-0005-0000-0000-0000E4020000}"/>
    <cellStyle name="Millares 10 5" xfId="1828" xr:uid="{00000000-0005-0000-0000-0000E5020000}"/>
    <cellStyle name="Millares 11" xfId="381" xr:uid="{00000000-0005-0000-0000-0000E6020000}"/>
    <cellStyle name="Millares 12" xfId="380" xr:uid="{00000000-0005-0000-0000-0000E7020000}"/>
    <cellStyle name="Millares 13" xfId="900" xr:uid="{00000000-0005-0000-0000-0000E8020000}"/>
    <cellStyle name="Millares 13 2" xfId="1080" xr:uid="{00000000-0005-0000-0000-0000E9020000}"/>
    <cellStyle name="Millares 13 2 2" xfId="1539" xr:uid="{00000000-0005-0000-0000-0000EA020000}"/>
    <cellStyle name="Millares 13 3" xfId="1240" xr:uid="{00000000-0005-0000-0000-0000EB020000}"/>
    <cellStyle name="Millares 13 3 2" xfId="1704" xr:uid="{00000000-0005-0000-0000-0000EC020000}"/>
    <cellStyle name="Millares 13 4" xfId="1433" xr:uid="{00000000-0005-0000-0000-0000ED020000}"/>
    <cellStyle name="Millares 13 5" xfId="1846" xr:uid="{00000000-0005-0000-0000-0000EE020000}"/>
    <cellStyle name="Millares 14" xfId="1000" xr:uid="{00000000-0005-0000-0000-0000EF020000}"/>
    <cellStyle name="Millares 15" xfId="369" xr:uid="{00000000-0005-0000-0000-0000F0020000}"/>
    <cellStyle name="Millares 2" xfId="6" xr:uid="{00000000-0005-0000-0000-0000F1020000}"/>
    <cellStyle name="Millares 2 2" xfId="7" xr:uid="{00000000-0005-0000-0000-0000F2020000}"/>
    <cellStyle name="Millares 2 2 2" xfId="55" xr:uid="{00000000-0005-0000-0000-0000F3020000}"/>
    <cellStyle name="Millares 2 2 3" xfId="856" xr:uid="{00000000-0005-0000-0000-0000F4020000}"/>
    <cellStyle name="Millares 2 2 4" xfId="48" xr:uid="{00000000-0005-0000-0000-0000F5020000}"/>
    <cellStyle name="Millares 2 3" xfId="9" xr:uid="{00000000-0005-0000-0000-0000F6020000}"/>
    <cellStyle name="Millares 2 3 2" xfId="878" xr:uid="{00000000-0005-0000-0000-0000F7020000}"/>
    <cellStyle name="Millares 2 3 2 2" xfId="1081" xr:uid="{00000000-0005-0000-0000-0000F8020000}"/>
    <cellStyle name="Millares 2 3 2 2 2" xfId="1540" xr:uid="{00000000-0005-0000-0000-0000F9020000}"/>
    <cellStyle name="Millares 2 3 2 3" xfId="1241" xr:uid="{00000000-0005-0000-0000-0000FA020000}"/>
    <cellStyle name="Millares 2 3 2 3 2" xfId="1705" xr:uid="{00000000-0005-0000-0000-0000FB020000}"/>
    <cellStyle name="Millares 2 3 2 4" xfId="1410" xr:uid="{00000000-0005-0000-0000-0000FC020000}"/>
    <cellStyle name="Millares 2 3 3" xfId="1823" xr:uid="{00000000-0005-0000-0000-0000FD020000}"/>
    <cellStyle name="Millares 2 3 4" xfId="54" xr:uid="{00000000-0005-0000-0000-0000FE020000}"/>
    <cellStyle name="Millares 2 4" xfId="378" xr:uid="{00000000-0005-0000-0000-0000FF020000}"/>
    <cellStyle name="Millares 2 4 2" xfId="838" xr:uid="{00000000-0005-0000-0000-000000030000}"/>
    <cellStyle name="Millares 2 4 2 2" xfId="1029" xr:uid="{00000000-0005-0000-0000-000001030000}"/>
    <cellStyle name="Millares 2 4 2 2 2" xfId="1084" xr:uid="{00000000-0005-0000-0000-000002030000}"/>
    <cellStyle name="Millares 2 4 2 2 2 2" xfId="1543" xr:uid="{00000000-0005-0000-0000-000003030000}"/>
    <cellStyle name="Millares 2 4 2 2 3" xfId="1244" xr:uid="{00000000-0005-0000-0000-000004030000}"/>
    <cellStyle name="Millares 2 4 2 2 3 2" xfId="1708" xr:uid="{00000000-0005-0000-0000-000005030000}"/>
    <cellStyle name="Millares 2 4 2 2 4" xfId="1490" xr:uid="{00000000-0005-0000-0000-000006030000}"/>
    <cellStyle name="Millares 2 4 2 3" xfId="1083" xr:uid="{00000000-0005-0000-0000-000007030000}"/>
    <cellStyle name="Millares 2 4 2 3 2" xfId="1542" xr:uid="{00000000-0005-0000-0000-000008030000}"/>
    <cellStyle name="Millares 2 4 2 4" xfId="1243" xr:uid="{00000000-0005-0000-0000-000009030000}"/>
    <cellStyle name="Millares 2 4 2 4 2" xfId="1707" xr:uid="{00000000-0005-0000-0000-00000A030000}"/>
    <cellStyle name="Millares 2 4 2 5" xfId="1391" xr:uid="{00000000-0005-0000-0000-00000B030000}"/>
    <cellStyle name="Millares 2 4 3" xfId="883" xr:uid="{00000000-0005-0000-0000-00000C030000}"/>
    <cellStyle name="Millares 2 4 3 2" xfId="1085" xr:uid="{00000000-0005-0000-0000-00000D030000}"/>
    <cellStyle name="Millares 2 4 3 2 2" xfId="1544" xr:uid="{00000000-0005-0000-0000-00000E030000}"/>
    <cellStyle name="Millares 2 4 3 3" xfId="1245" xr:uid="{00000000-0005-0000-0000-00000F030000}"/>
    <cellStyle name="Millares 2 4 3 3 2" xfId="1709" xr:uid="{00000000-0005-0000-0000-000010030000}"/>
    <cellStyle name="Millares 2 4 3 4" xfId="1416" xr:uid="{00000000-0005-0000-0000-000011030000}"/>
    <cellStyle name="Millares 2 4 4" xfId="1008" xr:uid="{00000000-0005-0000-0000-000012030000}"/>
    <cellStyle name="Millares 2 4 4 2" xfId="1086" xr:uid="{00000000-0005-0000-0000-000013030000}"/>
    <cellStyle name="Millares 2 4 4 2 2" xfId="1545" xr:uid="{00000000-0005-0000-0000-000014030000}"/>
    <cellStyle name="Millares 2 4 4 3" xfId="1246" xr:uid="{00000000-0005-0000-0000-000015030000}"/>
    <cellStyle name="Millares 2 4 4 3 2" xfId="1710" xr:uid="{00000000-0005-0000-0000-000016030000}"/>
    <cellStyle name="Millares 2 4 4 4" xfId="1471" xr:uid="{00000000-0005-0000-0000-000017030000}"/>
    <cellStyle name="Millares 2 4 5" xfId="1082" xr:uid="{00000000-0005-0000-0000-000018030000}"/>
    <cellStyle name="Millares 2 4 5 2" xfId="1541" xr:uid="{00000000-0005-0000-0000-000019030000}"/>
    <cellStyle name="Millares 2 4 6" xfId="1190" xr:uid="{00000000-0005-0000-0000-00001A030000}"/>
    <cellStyle name="Millares 2 4 6 2" xfId="1655" xr:uid="{00000000-0005-0000-0000-00001B030000}"/>
    <cellStyle name="Millares 2 4 7" xfId="1242" xr:uid="{00000000-0005-0000-0000-00001C030000}"/>
    <cellStyle name="Millares 2 4 7 2" xfId="1706" xr:uid="{00000000-0005-0000-0000-00001D030000}"/>
    <cellStyle name="Millares 2 4 8" xfId="1369" xr:uid="{00000000-0005-0000-0000-00001E030000}"/>
    <cellStyle name="Millares 2 4 9" xfId="1829" xr:uid="{00000000-0005-0000-0000-00001F030000}"/>
    <cellStyle name="Millares 2 5" xfId="387" xr:uid="{00000000-0005-0000-0000-000020030000}"/>
    <cellStyle name="Millares 2 5 2" xfId="901" xr:uid="{00000000-0005-0000-0000-000021030000}"/>
    <cellStyle name="Millares 2 5 2 2" xfId="1088" xr:uid="{00000000-0005-0000-0000-000022030000}"/>
    <cellStyle name="Millares 2 5 2 2 2" xfId="1547" xr:uid="{00000000-0005-0000-0000-000023030000}"/>
    <cellStyle name="Millares 2 5 2 3" xfId="1248" xr:uid="{00000000-0005-0000-0000-000024030000}"/>
    <cellStyle name="Millares 2 5 2 3 2" xfId="1712" xr:uid="{00000000-0005-0000-0000-000025030000}"/>
    <cellStyle name="Millares 2 5 2 4" xfId="1434" xr:uid="{00000000-0005-0000-0000-000026030000}"/>
    <cellStyle name="Millares 2 5 3" xfId="1087" xr:uid="{00000000-0005-0000-0000-000027030000}"/>
    <cellStyle name="Millares 2 5 3 2" xfId="1546" xr:uid="{00000000-0005-0000-0000-000028030000}"/>
    <cellStyle name="Millares 2 5 4" xfId="1247" xr:uid="{00000000-0005-0000-0000-000029030000}"/>
    <cellStyle name="Millares 2 5 4 2" xfId="1711" xr:uid="{00000000-0005-0000-0000-00002A030000}"/>
    <cellStyle name="Millares 2 5 5" xfId="1376" xr:uid="{00000000-0005-0000-0000-00002B030000}"/>
    <cellStyle name="Millares 2 5 6" xfId="1847" xr:uid="{00000000-0005-0000-0000-00002C030000}"/>
    <cellStyle name="Millares 3" xfId="3" xr:uid="{00000000-0005-0000-0000-00002D030000}"/>
    <cellStyle name="Millares 3 10" xfId="1347" xr:uid="{00000000-0005-0000-0000-00002E030000}"/>
    <cellStyle name="Millares 3 11" xfId="1812" xr:uid="{00000000-0005-0000-0000-00002F030000}"/>
    <cellStyle name="Millares 3 12" xfId="56" xr:uid="{00000000-0005-0000-0000-000030030000}"/>
    <cellStyle name="Millares 3 2" xfId="84" xr:uid="{00000000-0005-0000-0000-000031030000}"/>
    <cellStyle name="Millares 3 2 2" xfId="841" xr:uid="{00000000-0005-0000-0000-000032030000}"/>
    <cellStyle name="Millares 3 2 3" xfId="880" xr:uid="{00000000-0005-0000-0000-000033030000}"/>
    <cellStyle name="Millares 3 2 3 2" xfId="1091" xr:uid="{00000000-0005-0000-0000-000034030000}"/>
    <cellStyle name="Millares 3 2 3 2 2" xfId="1550" xr:uid="{00000000-0005-0000-0000-000035030000}"/>
    <cellStyle name="Millares 3 2 3 3" xfId="1251" xr:uid="{00000000-0005-0000-0000-000036030000}"/>
    <cellStyle name="Millares 3 2 3 3 2" xfId="1715" xr:uid="{00000000-0005-0000-0000-000037030000}"/>
    <cellStyle name="Millares 3 2 3 4" xfId="1412" xr:uid="{00000000-0005-0000-0000-000038030000}"/>
    <cellStyle name="Millares 3 2 4" xfId="965" xr:uid="{00000000-0005-0000-0000-000039030000}"/>
    <cellStyle name="Millares 3 2 4 2" xfId="1092" xr:uid="{00000000-0005-0000-0000-00003A030000}"/>
    <cellStyle name="Millares 3 2 4 2 2" xfId="1551" xr:uid="{00000000-0005-0000-0000-00003B030000}"/>
    <cellStyle name="Millares 3 2 4 3" xfId="1252" xr:uid="{00000000-0005-0000-0000-00003C030000}"/>
    <cellStyle name="Millares 3 2 4 3 2" xfId="1716" xr:uid="{00000000-0005-0000-0000-00003D030000}"/>
    <cellStyle name="Millares 3 2 4 4" xfId="1451" xr:uid="{00000000-0005-0000-0000-00003E030000}"/>
    <cellStyle name="Millares 3 2 5" xfId="1090" xr:uid="{00000000-0005-0000-0000-00003F030000}"/>
    <cellStyle name="Millares 3 2 5 2" xfId="1549" xr:uid="{00000000-0005-0000-0000-000040030000}"/>
    <cellStyle name="Millares 3 2 6" xfId="1250" xr:uid="{00000000-0005-0000-0000-000041030000}"/>
    <cellStyle name="Millares 3 2 6 2" xfId="1714" xr:uid="{00000000-0005-0000-0000-000042030000}"/>
    <cellStyle name="Millares 3 2 7" xfId="1349" xr:uid="{00000000-0005-0000-0000-000043030000}"/>
    <cellStyle name="Millares 3 2 8" xfId="1825" xr:uid="{00000000-0005-0000-0000-000044030000}"/>
    <cellStyle name="Millares 3 2 9" xfId="332" xr:uid="{00000000-0005-0000-0000-000045030000}"/>
    <cellStyle name="Millares 3 3" xfId="85" xr:uid="{00000000-0005-0000-0000-000046030000}"/>
    <cellStyle name="Millares 3 3 10" xfId="382" xr:uid="{00000000-0005-0000-0000-000047030000}"/>
    <cellStyle name="Millares 3 3 2" xfId="837" xr:uid="{00000000-0005-0000-0000-000048030000}"/>
    <cellStyle name="Millares 3 3 2 2" xfId="1028" xr:uid="{00000000-0005-0000-0000-000049030000}"/>
    <cellStyle name="Millares 3 3 2 2 2" xfId="1095" xr:uid="{00000000-0005-0000-0000-00004A030000}"/>
    <cellStyle name="Millares 3 3 2 2 2 2" xfId="1554" xr:uid="{00000000-0005-0000-0000-00004B030000}"/>
    <cellStyle name="Millares 3 3 2 2 3" xfId="1255" xr:uid="{00000000-0005-0000-0000-00004C030000}"/>
    <cellStyle name="Millares 3 3 2 2 3 2" xfId="1719" xr:uid="{00000000-0005-0000-0000-00004D030000}"/>
    <cellStyle name="Millares 3 3 2 2 4" xfId="1489" xr:uid="{00000000-0005-0000-0000-00004E030000}"/>
    <cellStyle name="Millares 3 3 2 3" xfId="1094" xr:uid="{00000000-0005-0000-0000-00004F030000}"/>
    <cellStyle name="Millares 3 3 2 3 2" xfId="1553" xr:uid="{00000000-0005-0000-0000-000050030000}"/>
    <cellStyle name="Millares 3 3 2 4" xfId="1254" xr:uid="{00000000-0005-0000-0000-000051030000}"/>
    <cellStyle name="Millares 3 3 2 4 2" xfId="1718" xr:uid="{00000000-0005-0000-0000-000052030000}"/>
    <cellStyle name="Millares 3 3 2 5" xfId="1390" xr:uid="{00000000-0005-0000-0000-000053030000}"/>
    <cellStyle name="Millares 3 3 3" xfId="884" xr:uid="{00000000-0005-0000-0000-000054030000}"/>
    <cellStyle name="Millares 3 3 3 2" xfId="1096" xr:uid="{00000000-0005-0000-0000-000055030000}"/>
    <cellStyle name="Millares 3 3 3 2 2" xfId="1555" xr:uid="{00000000-0005-0000-0000-000056030000}"/>
    <cellStyle name="Millares 3 3 3 3" xfId="1256" xr:uid="{00000000-0005-0000-0000-000057030000}"/>
    <cellStyle name="Millares 3 3 3 3 2" xfId="1720" xr:uid="{00000000-0005-0000-0000-000058030000}"/>
    <cellStyle name="Millares 3 3 3 4" xfId="1417" xr:uid="{00000000-0005-0000-0000-000059030000}"/>
    <cellStyle name="Millares 3 3 4" xfId="1010" xr:uid="{00000000-0005-0000-0000-00005A030000}"/>
    <cellStyle name="Millares 3 3 4 2" xfId="1097" xr:uid="{00000000-0005-0000-0000-00005B030000}"/>
    <cellStyle name="Millares 3 3 4 2 2" xfId="1556" xr:uid="{00000000-0005-0000-0000-00005C030000}"/>
    <cellStyle name="Millares 3 3 4 3" xfId="1257" xr:uid="{00000000-0005-0000-0000-00005D030000}"/>
    <cellStyle name="Millares 3 3 4 3 2" xfId="1721" xr:uid="{00000000-0005-0000-0000-00005E030000}"/>
    <cellStyle name="Millares 3 3 4 4" xfId="1472" xr:uid="{00000000-0005-0000-0000-00005F030000}"/>
    <cellStyle name="Millares 3 3 5" xfId="1093" xr:uid="{00000000-0005-0000-0000-000060030000}"/>
    <cellStyle name="Millares 3 3 5 2" xfId="1552" xr:uid="{00000000-0005-0000-0000-000061030000}"/>
    <cellStyle name="Millares 3 3 6" xfId="1189" xr:uid="{00000000-0005-0000-0000-000062030000}"/>
    <cellStyle name="Millares 3 3 6 2" xfId="1654" xr:uid="{00000000-0005-0000-0000-000063030000}"/>
    <cellStyle name="Millares 3 3 7" xfId="1253" xr:uid="{00000000-0005-0000-0000-000064030000}"/>
    <cellStyle name="Millares 3 3 7 2" xfId="1717" xr:uid="{00000000-0005-0000-0000-000065030000}"/>
    <cellStyle name="Millares 3 3 8" xfId="1370" xr:uid="{00000000-0005-0000-0000-000066030000}"/>
    <cellStyle name="Millares 3 3 9" xfId="1830" xr:uid="{00000000-0005-0000-0000-000067030000}"/>
    <cellStyle name="Millares 3 4" xfId="86" xr:uid="{00000000-0005-0000-0000-000068030000}"/>
    <cellStyle name="Millares 3 4 2" xfId="902" xr:uid="{00000000-0005-0000-0000-000069030000}"/>
    <cellStyle name="Millares 3 4 2 2" xfId="1099" xr:uid="{00000000-0005-0000-0000-00006A030000}"/>
    <cellStyle name="Millares 3 4 2 2 2" xfId="1558" xr:uid="{00000000-0005-0000-0000-00006B030000}"/>
    <cellStyle name="Millares 3 4 2 3" xfId="1259" xr:uid="{00000000-0005-0000-0000-00006C030000}"/>
    <cellStyle name="Millares 3 4 2 3 2" xfId="1723" xr:uid="{00000000-0005-0000-0000-00006D030000}"/>
    <cellStyle name="Millares 3 4 2 4" xfId="1435" xr:uid="{00000000-0005-0000-0000-00006E030000}"/>
    <cellStyle name="Millares 3 4 3" xfId="1098" xr:uid="{00000000-0005-0000-0000-00006F030000}"/>
    <cellStyle name="Millares 3 4 3 2" xfId="1557" xr:uid="{00000000-0005-0000-0000-000070030000}"/>
    <cellStyle name="Millares 3 4 4" xfId="1258" xr:uid="{00000000-0005-0000-0000-000071030000}"/>
    <cellStyle name="Millares 3 4 4 2" xfId="1722" xr:uid="{00000000-0005-0000-0000-000072030000}"/>
    <cellStyle name="Millares 3 4 5" xfId="1377" xr:uid="{00000000-0005-0000-0000-000073030000}"/>
    <cellStyle name="Millares 3 4 6" xfId="1848" xr:uid="{00000000-0005-0000-0000-000074030000}"/>
    <cellStyle name="Millares 3 4 7" xfId="388" xr:uid="{00000000-0005-0000-0000-000075030000}"/>
    <cellStyle name="Millares 3 5" xfId="87" xr:uid="{00000000-0005-0000-0000-000076030000}"/>
    <cellStyle name="Millares 3 5 2" xfId="407" xr:uid="{00000000-0005-0000-0000-000077030000}"/>
    <cellStyle name="Millares 3 6" xfId="88" xr:uid="{00000000-0005-0000-0000-000078030000}"/>
    <cellStyle name="Millares 3 6 2" xfId="1100" xr:uid="{00000000-0005-0000-0000-000079030000}"/>
    <cellStyle name="Millares 3 6 2 2" xfId="1559" xr:uid="{00000000-0005-0000-0000-00007A030000}"/>
    <cellStyle name="Millares 3 6 3" xfId="1260" xr:uid="{00000000-0005-0000-0000-00007B030000}"/>
    <cellStyle name="Millares 3 6 3 2" xfId="1724" xr:uid="{00000000-0005-0000-0000-00007C030000}"/>
    <cellStyle name="Millares 3 6 4" xfId="1397" xr:uid="{00000000-0005-0000-0000-00007D030000}"/>
    <cellStyle name="Millares 3 6 5" xfId="853" xr:uid="{00000000-0005-0000-0000-00007E030000}"/>
    <cellStyle name="Millares 3 7" xfId="89" xr:uid="{00000000-0005-0000-0000-00007F030000}"/>
    <cellStyle name="Millares 3 7 2" xfId="1101" xr:uid="{00000000-0005-0000-0000-000080030000}"/>
    <cellStyle name="Millares 3 7 2 2" xfId="1560" xr:uid="{00000000-0005-0000-0000-000081030000}"/>
    <cellStyle name="Millares 3 7 3" xfId="1261" xr:uid="{00000000-0005-0000-0000-000082030000}"/>
    <cellStyle name="Millares 3 7 3 2" xfId="1725" xr:uid="{00000000-0005-0000-0000-000083030000}"/>
    <cellStyle name="Millares 3 7 4" xfId="1449" xr:uid="{00000000-0005-0000-0000-000084030000}"/>
    <cellStyle name="Millares 3 7 5" xfId="963" xr:uid="{00000000-0005-0000-0000-000085030000}"/>
    <cellStyle name="Millares 3 8" xfId="83" xr:uid="{00000000-0005-0000-0000-000086030000}"/>
    <cellStyle name="Millares 3 8 2" xfId="1548" xr:uid="{00000000-0005-0000-0000-000087030000}"/>
    <cellStyle name="Millares 3 8 3" xfId="1089" xr:uid="{00000000-0005-0000-0000-000088030000}"/>
    <cellStyle name="Millares 3 9" xfId="1249" xr:uid="{00000000-0005-0000-0000-000089030000}"/>
    <cellStyle name="Millares 3 9 2" xfId="1713" xr:uid="{00000000-0005-0000-0000-00008A030000}"/>
    <cellStyle name="Millares 4" xfId="90" xr:uid="{00000000-0005-0000-0000-00008B030000}"/>
    <cellStyle name="Millares 4 10" xfId="1814" xr:uid="{00000000-0005-0000-0000-00008C030000}"/>
    <cellStyle name="Millares 4 2" xfId="839" xr:uid="{00000000-0005-0000-0000-00008D030000}"/>
    <cellStyle name="Millares 4 2 2" xfId="1030" xr:uid="{00000000-0005-0000-0000-00008E030000}"/>
    <cellStyle name="Millares 4 2 2 2" xfId="1104" xr:uid="{00000000-0005-0000-0000-00008F030000}"/>
    <cellStyle name="Millares 4 2 2 2 2" xfId="1563" xr:uid="{00000000-0005-0000-0000-000090030000}"/>
    <cellStyle name="Millares 4 2 2 3" xfId="1264" xr:uid="{00000000-0005-0000-0000-000091030000}"/>
    <cellStyle name="Millares 4 2 2 3 2" xfId="1728" xr:uid="{00000000-0005-0000-0000-000092030000}"/>
    <cellStyle name="Millares 4 2 2 4" xfId="1491" xr:uid="{00000000-0005-0000-0000-000093030000}"/>
    <cellStyle name="Millares 4 2 3" xfId="1103" xr:uid="{00000000-0005-0000-0000-000094030000}"/>
    <cellStyle name="Millares 4 2 3 2" xfId="1562" xr:uid="{00000000-0005-0000-0000-000095030000}"/>
    <cellStyle name="Millares 4 2 4" xfId="1263" xr:uid="{00000000-0005-0000-0000-000096030000}"/>
    <cellStyle name="Millares 4 2 4 2" xfId="1727" xr:uid="{00000000-0005-0000-0000-000097030000}"/>
    <cellStyle name="Millares 4 2 5" xfId="1392" xr:uid="{00000000-0005-0000-0000-000098030000}"/>
    <cellStyle name="Millares 4 3" xfId="857" xr:uid="{00000000-0005-0000-0000-000099030000}"/>
    <cellStyle name="Millares 4 3 2" xfId="1105" xr:uid="{00000000-0005-0000-0000-00009A030000}"/>
    <cellStyle name="Millares 4 3 2 2" xfId="1564" xr:uid="{00000000-0005-0000-0000-00009B030000}"/>
    <cellStyle name="Millares 4 3 3" xfId="1265" xr:uid="{00000000-0005-0000-0000-00009C030000}"/>
    <cellStyle name="Millares 4 3 3 2" xfId="1729" xr:uid="{00000000-0005-0000-0000-00009D030000}"/>
    <cellStyle name="Millares 4 3 4" xfId="1399" xr:uid="{00000000-0005-0000-0000-00009E030000}"/>
    <cellStyle name="Millares 4 4" xfId="958" xr:uid="{00000000-0005-0000-0000-00009F030000}"/>
    <cellStyle name="Millares 4 4 2" xfId="1106" xr:uid="{00000000-0005-0000-0000-0000A0030000}"/>
    <cellStyle name="Millares 4 4 2 2" xfId="1565" xr:uid="{00000000-0005-0000-0000-0000A1030000}"/>
    <cellStyle name="Millares 4 4 3" xfId="1266" xr:uid="{00000000-0005-0000-0000-0000A2030000}"/>
    <cellStyle name="Millares 4 4 3 2" xfId="1730" xr:uid="{00000000-0005-0000-0000-0000A3030000}"/>
    <cellStyle name="Millares 4 4 4" xfId="1445" xr:uid="{00000000-0005-0000-0000-0000A4030000}"/>
    <cellStyle name="Millares 4 5" xfId="964" xr:uid="{00000000-0005-0000-0000-0000A5030000}"/>
    <cellStyle name="Millares 4 5 2" xfId="1107" xr:uid="{00000000-0005-0000-0000-0000A6030000}"/>
    <cellStyle name="Millares 4 5 2 2" xfId="1566" xr:uid="{00000000-0005-0000-0000-0000A7030000}"/>
    <cellStyle name="Millares 4 5 3" xfId="1267" xr:uid="{00000000-0005-0000-0000-0000A8030000}"/>
    <cellStyle name="Millares 4 5 3 2" xfId="1731" xr:uid="{00000000-0005-0000-0000-0000A9030000}"/>
    <cellStyle name="Millares 4 5 4" xfId="1450" xr:uid="{00000000-0005-0000-0000-0000AA030000}"/>
    <cellStyle name="Millares 4 6" xfId="1102" xr:uid="{00000000-0005-0000-0000-0000AB030000}"/>
    <cellStyle name="Millares 4 6 2" xfId="1561" xr:uid="{00000000-0005-0000-0000-0000AC030000}"/>
    <cellStyle name="Millares 4 7" xfId="1191" xr:uid="{00000000-0005-0000-0000-0000AD030000}"/>
    <cellStyle name="Millares 4 7 2" xfId="1656" xr:uid="{00000000-0005-0000-0000-0000AE030000}"/>
    <cellStyle name="Millares 4 8" xfId="1262" xr:uid="{00000000-0005-0000-0000-0000AF030000}"/>
    <cellStyle name="Millares 4 8 2" xfId="1726" xr:uid="{00000000-0005-0000-0000-0000B0030000}"/>
    <cellStyle name="Millares 4 9" xfId="1348" xr:uid="{00000000-0005-0000-0000-0000B1030000}"/>
    <cellStyle name="Millares 5" xfId="91" xr:uid="{00000000-0005-0000-0000-0000B2030000}"/>
    <cellStyle name="Millares 5 2" xfId="858" xr:uid="{00000000-0005-0000-0000-0000B3030000}"/>
    <cellStyle name="Millares 5 2 2" xfId="1109" xr:uid="{00000000-0005-0000-0000-0000B4030000}"/>
    <cellStyle name="Millares 5 2 2 2" xfId="1568" xr:uid="{00000000-0005-0000-0000-0000B5030000}"/>
    <cellStyle name="Millares 5 2 3" xfId="1269" xr:uid="{00000000-0005-0000-0000-0000B6030000}"/>
    <cellStyle name="Millares 5 2 3 2" xfId="1733" xr:uid="{00000000-0005-0000-0000-0000B7030000}"/>
    <cellStyle name="Millares 5 2 4" xfId="1400" xr:uid="{00000000-0005-0000-0000-0000B8030000}"/>
    <cellStyle name="Millares 5 3" xfId="1108" xr:uid="{00000000-0005-0000-0000-0000B9030000}"/>
    <cellStyle name="Millares 5 3 2" xfId="1567" xr:uid="{00000000-0005-0000-0000-0000BA030000}"/>
    <cellStyle name="Millares 5 4" xfId="1268" xr:uid="{00000000-0005-0000-0000-0000BB030000}"/>
    <cellStyle name="Millares 5 4 2" xfId="1732" xr:uid="{00000000-0005-0000-0000-0000BC030000}"/>
    <cellStyle name="Millares 5 5" xfId="1344" xr:uid="{00000000-0005-0000-0000-0000BD030000}"/>
    <cellStyle name="Millares 5 6" xfId="1815" xr:uid="{00000000-0005-0000-0000-0000BE030000}"/>
    <cellStyle name="Millares 6" xfId="92" xr:uid="{00000000-0005-0000-0000-0000BF030000}"/>
    <cellStyle name="Millares 6 2" xfId="859" xr:uid="{00000000-0005-0000-0000-0000C0030000}"/>
    <cellStyle name="Millares 6 3" xfId="1005" xr:uid="{00000000-0005-0000-0000-0000C1030000}"/>
    <cellStyle name="Millares 6 3 2" xfId="1111" xr:uid="{00000000-0005-0000-0000-0000C2030000}"/>
    <cellStyle name="Millares 6 3 2 2" xfId="1570" xr:uid="{00000000-0005-0000-0000-0000C3030000}"/>
    <cellStyle name="Millares 6 3 3" xfId="1271" xr:uid="{00000000-0005-0000-0000-0000C4030000}"/>
    <cellStyle name="Millares 6 3 3 2" xfId="1735" xr:uid="{00000000-0005-0000-0000-0000C5030000}"/>
    <cellStyle name="Millares 6 3 4" xfId="1468" xr:uid="{00000000-0005-0000-0000-0000C6030000}"/>
    <cellStyle name="Millares 6 4" xfId="1110" xr:uid="{00000000-0005-0000-0000-0000C7030000}"/>
    <cellStyle name="Millares 6 4 2" xfId="1569" xr:uid="{00000000-0005-0000-0000-0000C8030000}"/>
    <cellStyle name="Millares 6 5" xfId="1270" xr:uid="{00000000-0005-0000-0000-0000C9030000}"/>
    <cellStyle name="Millares 6 5 2" xfId="1734" xr:uid="{00000000-0005-0000-0000-0000CA030000}"/>
    <cellStyle name="Millares 6 6" xfId="1366" xr:uid="{00000000-0005-0000-0000-0000CB030000}"/>
    <cellStyle name="Millares 6 7" xfId="375" xr:uid="{00000000-0005-0000-0000-0000CC030000}"/>
    <cellStyle name="Millares 7" xfId="93" xr:uid="{00000000-0005-0000-0000-0000CD030000}"/>
    <cellStyle name="Millares 7 2" xfId="866" xr:uid="{00000000-0005-0000-0000-0000CE030000}"/>
    <cellStyle name="Millares 7 3" xfId="1013" xr:uid="{00000000-0005-0000-0000-0000CF030000}"/>
    <cellStyle name="Millares 7 3 2" xfId="1113" xr:uid="{00000000-0005-0000-0000-0000D0030000}"/>
    <cellStyle name="Millares 7 3 2 2" xfId="1572" xr:uid="{00000000-0005-0000-0000-0000D1030000}"/>
    <cellStyle name="Millares 7 3 3" xfId="1273" xr:uid="{00000000-0005-0000-0000-0000D2030000}"/>
    <cellStyle name="Millares 7 3 3 2" xfId="1737" xr:uid="{00000000-0005-0000-0000-0000D3030000}"/>
    <cellStyle name="Millares 7 3 4" xfId="1475" xr:uid="{00000000-0005-0000-0000-0000D4030000}"/>
    <cellStyle name="Millares 7 4" xfId="1112" xr:uid="{00000000-0005-0000-0000-0000D5030000}"/>
    <cellStyle name="Millares 7 4 2" xfId="1571" xr:uid="{00000000-0005-0000-0000-0000D6030000}"/>
    <cellStyle name="Millares 7 5" xfId="1272" xr:uid="{00000000-0005-0000-0000-0000D7030000}"/>
    <cellStyle name="Millares 7 5 2" xfId="1736" xr:uid="{00000000-0005-0000-0000-0000D8030000}"/>
    <cellStyle name="Millares 7 6" xfId="1373" xr:uid="{00000000-0005-0000-0000-0000D9030000}"/>
    <cellStyle name="Millares 7 7" xfId="384" xr:uid="{00000000-0005-0000-0000-0000DA030000}"/>
    <cellStyle name="Millares 8" xfId="94" xr:uid="{00000000-0005-0000-0000-0000DB030000}"/>
    <cellStyle name="Millares 8 2" xfId="851" xr:uid="{00000000-0005-0000-0000-0000DC030000}"/>
    <cellStyle name="Millares 9" xfId="868" xr:uid="{00000000-0005-0000-0000-0000DD030000}"/>
    <cellStyle name="Millares 9 2" xfId="1114" xr:uid="{00000000-0005-0000-0000-0000DE030000}"/>
    <cellStyle name="Millares 9 2 2" xfId="1573" xr:uid="{00000000-0005-0000-0000-0000DF030000}"/>
    <cellStyle name="Millares 9 3" xfId="1274" xr:uid="{00000000-0005-0000-0000-0000E0030000}"/>
    <cellStyle name="Millares 9 3 2" xfId="1738" xr:uid="{00000000-0005-0000-0000-0000E1030000}"/>
    <cellStyle name="Millares 9 4" xfId="1405" xr:uid="{00000000-0005-0000-0000-0000E2030000}"/>
    <cellStyle name="Millares 9 5" xfId="1818" xr:uid="{00000000-0005-0000-0000-0000E3030000}"/>
    <cellStyle name="Neutral" xfId="14" builtinId="28" customBuiltin="1"/>
    <cellStyle name="Neutral 10" xfId="716" xr:uid="{00000000-0005-0000-0000-0000E5030000}"/>
    <cellStyle name="Neutral 2" xfId="338" xr:uid="{00000000-0005-0000-0000-0000E6030000}"/>
    <cellStyle name="Neutral 2 2" xfId="717" xr:uid="{00000000-0005-0000-0000-0000E7030000}"/>
    <cellStyle name="Neutral 2 3" xfId="971" xr:uid="{00000000-0005-0000-0000-0000E8030000}"/>
    <cellStyle name="Neutral 3" xfId="718" xr:uid="{00000000-0005-0000-0000-0000E9030000}"/>
    <cellStyle name="Neutral 4" xfId="719" xr:uid="{00000000-0005-0000-0000-0000EA030000}"/>
    <cellStyle name="Neutral 5" xfId="720" xr:uid="{00000000-0005-0000-0000-0000EB030000}"/>
    <cellStyle name="Neutral 6" xfId="721" xr:uid="{00000000-0005-0000-0000-0000EC030000}"/>
    <cellStyle name="Neutral 7" xfId="722" xr:uid="{00000000-0005-0000-0000-0000ED030000}"/>
    <cellStyle name="Neutral 8" xfId="723" xr:uid="{00000000-0005-0000-0000-0000EE030000}"/>
    <cellStyle name="Neutral 9" xfId="724" xr:uid="{00000000-0005-0000-0000-0000EF030000}"/>
    <cellStyle name="Normal" xfId="0" builtinId="0"/>
    <cellStyle name="Normal 10" xfId="95" xr:uid="{00000000-0005-0000-0000-0000F1030000}"/>
    <cellStyle name="Normal 10 2" xfId="96" xr:uid="{00000000-0005-0000-0000-0000F2030000}"/>
    <cellStyle name="Normal 10 2 2" xfId="97" xr:uid="{00000000-0005-0000-0000-0000F3030000}"/>
    <cellStyle name="Normal 10 2 3" xfId="98" xr:uid="{00000000-0005-0000-0000-0000F4030000}"/>
    <cellStyle name="Normal 10 2 4" xfId="99" xr:uid="{00000000-0005-0000-0000-0000F5030000}"/>
    <cellStyle name="Normal 10 2 5" xfId="100" xr:uid="{00000000-0005-0000-0000-0000F6030000}"/>
    <cellStyle name="Normal 10 2 5 2" xfId="101" xr:uid="{00000000-0005-0000-0000-0000F7030000}"/>
    <cellStyle name="Normal 10 2 5 2 2" xfId="102" xr:uid="{00000000-0005-0000-0000-0000F8030000}"/>
    <cellStyle name="Normal 10 2 5 2 2 2" xfId="103" xr:uid="{00000000-0005-0000-0000-0000F9030000}"/>
    <cellStyle name="Normal 10 2 6" xfId="104" xr:uid="{00000000-0005-0000-0000-0000FA030000}"/>
    <cellStyle name="Normal 10 2 7" xfId="393" xr:uid="{00000000-0005-0000-0000-0000FB030000}"/>
    <cellStyle name="Normal 10 3" xfId="105" xr:uid="{00000000-0005-0000-0000-0000FC030000}"/>
    <cellStyle name="Normal 10 3 2" xfId="1116" xr:uid="{00000000-0005-0000-0000-0000FD030000}"/>
    <cellStyle name="Normal 10 3 2 2" xfId="1575" xr:uid="{00000000-0005-0000-0000-0000FE030000}"/>
    <cellStyle name="Normal 10 3 3" xfId="1276" xr:uid="{00000000-0005-0000-0000-0000FF030000}"/>
    <cellStyle name="Normal 10 3 3 2" xfId="1740" xr:uid="{00000000-0005-0000-0000-000000040000}"/>
    <cellStyle name="Normal 10 3 4" xfId="1430" xr:uid="{00000000-0005-0000-0000-000001040000}"/>
    <cellStyle name="Normal 10 4" xfId="1004" xr:uid="{00000000-0005-0000-0000-000002040000}"/>
    <cellStyle name="Normal 10 4 2" xfId="1117" xr:uid="{00000000-0005-0000-0000-000003040000}"/>
    <cellStyle name="Normal 10 4 2 2" xfId="1576" xr:uid="{00000000-0005-0000-0000-000004040000}"/>
    <cellStyle name="Normal 10 4 3" xfId="1277" xr:uid="{00000000-0005-0000-0000-000005040000}"/>
    <cellStyle name="Normal 10 4 3 2" xfId="1741" xr:uid="{00000000-0005-0000-0000-000006040000}"/>
    <cellStyle name="Normal 10 4 4" xfId="1467" xr:uid="{00000000-0005-0000-0000-000007040000}"/>
    <cellStyle name="Normal 10 5" xfId="1115" xr:uid="{00000000-0005-0000-0000-000008040000}"/>
    <cellStyle name="Normal 10 5 2" xfId="1574" xr:uid="{00000000-0005-0000-0000-000009040000}"/>
    <cellStyle name="Normal 10 6" xfId="1275" xr:uid="{00000000-0005-0000-0000-00000A040000}"/>
    <cellStyle name="Normal 10 6 2" xfId="1739" xr:uid="{00000000-0005-0000-0000-00000B040000}"/>
    <cellStyle name="Normal 10 7" xfId="1364" xr:uid="{00000000-0005-0000-0000-00000C040000}"/>
    <cellStyle name="Normal 10 8" xfId="1843" xr:uid="{00000000-0005-0000-0000-00000D040000}"/>
    <cellStyle name="Normal 11" xfId="106" xr:uid="{00000000-0005-0000-0000-00000E040000}"/>
    <cellStyle name="Normal 11 2" xfId="394" xr:uid="{00000000-0005-0000-0000-00000F040000}"/>
    <cellStyle name="Normal 11 3" xfId="1011" xr:uid="{00000000-0005-0000-0000-000010040000}"/>
    <cellStyle name="Normal 11 3 2" xfId="1119" xr:uid="{00000000-0005-0000-0000-000011040000}"/>
    <cellStyle name="Normal 11 3 2 2" xfId="1578" xr:uid="{00000000-0005-0000-0000-000012040000}"/>
    <cellStyle name="Normal 11 3 3" xfId="1279" xr:uid="{00000000-0005-0000-0000-000013040000}"/>
    <cellStyle name="Normal 11 3 3 2" xfId="1743" xr:uid="{00000000-0005-0000-0000-000014040000}"/>
    <cellStyle name="Normal 11 3 4" xfId="1473" xr:uid="{00000000-0005-0000-0000-000015040000}"/>
    <cellStyle name="Normal 11 4" xfId="1118" xr:uid="{00000000-0005-0000-0000-000016040000}"/>
    <cellStyle name="Normal 11 4 2" xfId="1577" xr:uid="{00000000-0005-0000-0000-000017040000}"/>
    <cellStyle name="Normal 11 5" xfId="1278" xr:uid="{00000000-0005-0000-0000-000018040000}"/>
    <cellStyle name="Normal 11 5 2" xfId="1742" xr:uid="{00000000-0005-0000-0000-000019040000}"/>
    <cellStyle name="Normal 11 6" xfId="1371" xr:uid="{00000000-0005-0000-0000-00001A040000}"/>
    <cellStyle name="Normal 12" xfId="107" xr:uid="{00000000-0005-0000-0000-00001B040000}"/>
    <cellStyle name="Normal 12 2" xfId="395" xr:uid="{00000000-0005-0000-0000-00001C040000}"/>
    <cellStyle name="Normal 12 3" xfId="1016" xr:uid="{00000000-0005-0000-0000-00001D040000}"/>
    <cellStyle name="Normal 12 3 2" xfId="1120" xr:uid="{00000000-0005-0000-0000-00001E040000}"/>
    <cellStyle name="Normal 12 3 2 2" xfId="1579" xr:uid="{00000000-0005-0000-0000-00001F040000}"/>
    <cellStyle name="Normal 12 3 3" xfId="1280" xr:uid="{00000000-0005-0000-0000-000020040000}"/>
    <cellStyle name="Normal 12 3 3 2" xfId="1744" xr:uid="{00000000-0005-0000-0000-000021040000}"/>
    <cellStyle name="Normal 12 3 4" xfId="1478" xr:uid="{00000000-0005-0000-0000-000022040000}"/>
    <cellStyle name="Normal 12 4" xfId="1033" xr:uid="{00000000-0005-0000-0000-000023040000}"/>
    <cellStyle name="Normal 12 4 2" xfId="1493" xr:uid="{00000000-0005-0000-0000-000024040000}"/>
    <cellStyle name="Normal 12 5" xfId="1194" xr:uid="{00000000-0005-0000-0000-000025040000}"/>
    <cellStyle name="Normal 12 5 2" xfId="1658" xr:uid="{00000000-0005-0000-0000-000026040000}"/>
    <cellStyle name="Normal 12 6" xfId="1378" xr:uid="{00000000-0005-0000-0000-000027040000}"/>
    <cellStyle name="Normal 12 7" xfId="390" xr:uid="{00000000-0005-0000-0000-000028040000}"/>
    <cellStyle name="Normal 13" xfId="108" xr:uid="{00000000-0005-0000-0000-000029040000}"/>
    <cellStyle name="Normal 13 2" xfId="109" xr:uid="{00000000-0005-0000-0000-00002A040000}"/>
    <cellStyle name="Normal 13 2 2" xfId="110" xr:uid="{00000000-0005-0000-0000-00002B040000}"/>
    <cellStyle name="Normal 13 2 3" xfId="111" xr:uid="{00000000-0005-0000-0000-00002C040000}"/>
    <cellStyle name="Normal 13 2 4" xfId="112" xr:uid="{00000000-0005-0000-0000-00002D040000}"/>
    <cellStyle name="Normal 13 2 5" xfId="113" xr:uid="{00000000-0005-0000-0000-00002E040000}"/>
    <cellStyle name="Normal 13 3" xfId="114" xr:uid="{00000000-0005-0000-0000-00002F040000}"/>
    <cellStyle name="Normal 13 3 2" xfId="115" xr:uid="{00000000-0005-0000-0000-000030040000}"/>
    <cellStyle name="Normal 13 4" xfId="396" xr:uid="{00000000-0005-0000-0000-000031040000}"/>
    <cellStyle name="Normal 14" xfId="116" xr:uid="{00000000-0005-0000-0000-000032040000}"/>
    <cellStyle name="Normal 14 2" xfId="117" xr:uid="{00000000-0005-0000-0000-000033040000}"/>
    <cellStyle name="Normal 14 3" xfId="118" xr:uid="{00000000-0005-0000-0000-000034040000}"/>
    <cellStyle name="Normal 14 4" xfId="119" xr:uid="{00000000-0005-0000-0000-000035040000}"/>
    <cellStyle name="Normal 14 5" xfId="120" xr:uid="{00000000-0005-0000-0000-000036040000}"/>
    <cellStyle name="Normal 14 6" xfId="397" xr:uid="{00000000-0005-0000-0000-000037040000}"/>
    <cellStyle name="Normal 15" xfId="44" xr:uid="{00000000-0005-0000-0000-000038040000}"/>
    <cellStyle name="Normal 15 2" xfId="121" xr:uid="{00000000-0005-0000-0000-000039040000}"/>
    <cellStyle name="Normal 15 2 2" xfId="398" xr:uid="{00000000-0005-0000-0000-00003A040000}"/>
    <cellStyle name="Normal 15 3" xfId="122" xr:uid="{00000000-0005-0000-0000-00003B040000}"/>
    <cellStyle name="Normal 15 3 2" xfId="1121" xr:uid="{00000000-0005-0000-0000-00003C040000}"/>
    <cellStyle name="Normal 15 3 2 2" xfId="1581" xr:uid="{00000000-0005-0000-0000-00003D040000}"/>
    <cellStyle name="Normal 15 3 3" xfId="1281" xr:uid="{00000000-0005-0000-0000-00003E040000}"/>
    <cellStyle name="Normal 15 3 3 2" xfId="1746" xr:uid="{00000000-0005-0000-0000-00003F040000}"/>
    <cellStyle name="Normal 15 3 4" xfId="1452" xr:uid="{00000000-0005-0000-0000-000040040000}"/>
    <cellStyle name="Normal 15 4" xfId="123" xr:uid="{00000000-0005-0000-0000-000041040000}"/>
    <cellStyle name="Normal 15 4 2" xfId="1580" xr:uid="{00000000-0005-0000-0000-000042040000}"/>
    <cellStyle name="Normal 15 5" xfId="124" xr:uid="{00000000-0005-0000-0000-000043040000}"/>
    <cellStyle name="Normal 15 5 2" xfId="1745" xr:uid="{00000000-0005-0000-0000-000044040000}"/>
    <cellStyle name="Normal 15 6" xfId="125" xr:uid="{00000000-0005-0000-0000-000045040000}"/>
    <cellStyle name="Normal 15 6 2" xfId="126" xr:uid="{00000000-0005-0000-0000-000046040000}"/>
    <cellStyle name="Normal 15 6 2 2" xfId="127" xr:uid="{00000000-0005-0000-0000-000047040000}"/>
    <cellStyle name="Normal 15 6 2 2 2" xfId="128" xr:uid="{00000000-0005-0000-0000-000048040000}"/>
    <cellStyle name="Normal 16" xfId="129" xr:uid="{00000000-0005-0000-0000-000049040000}"/>
    <cellStyle name="Normal 16 2" xfId="399" xr:uid="{00000000-0005-0000-0000-00004A040000}"/>
    <cellStyle name="Normal 17" xfId="130" xr:uid="{00000000-0005-0000-0000-00004B040000}"/>
    <cellStyle name="Normal 17 2" xfId="400" xr:uid="{00000000-0005-0000-0000-00004C040000}"/>
    <cellStyle name="Normal 18" xfId="50" xr:uid="{00000000-0005-0000-0000-00004D040000}"/>
    <cellStyle name="Normal 18 2" xfId="131" xr:uid="{00000000-0005-0000-0000-00004E040000}"/>
    <cellStyle name="Normal 19" xfId="132" xr:uid="{00000000-0005-0000-0000-00004F040000}"/>
    <cellStyle name="Normal 19 2" xfId="133" xr:uid="{00000000-0005-0000-0000-000050040000}"/>
    <cellStyle name="Normal 19 2 2" xfId="134" xr:uid="{00000000-0005-0000-0000-000051040000}"/>
    <cellStyle name="Normal 19 3" xfId="401" xr:uid="{00000000-0005-0000-0000-000052040000}"/>
    <cellStyle name="Normal 2" xfId="4" xr:uid="{00000000-0005-0000-0000-000053040000}"/>
    <cellStyle name="Normal 2 10" xfId="136" xr:uid="{00000000-0005-0000-0000-000054040000}"/>
    <cellStyle name="Normal 2 10 2" xfId="725" xr:uid="{00000000-0005-0000-0000-000055040000}"/>
    <cellStyle name="Normal 2 11" xfId="137" xr:uid="{00000000-0005-0000-0000-000056040000}"/>
    <cellStyle name="Normal 2 11 2" xfId="845" xr:uid="{00000000-0005-0000-0000-000057040000}"/>
    <cellStyle name="Normal 2 12" xfId="138" xr:uid="{00000000-0005-0000-0000-000058040000}"/>
    <cellStyle name="Normal 2 13" xfId="139" xr:uid="{00000000-0005-0000-0000-000059040000}"/>
    <cellStyle name="Normal 2 14" xfId="140" xr:uid="{00000000-0005-0000-0000-00005A040000}"/>
    <cellStyle name="Normal 2 15" xfId="141" xr:uid="{00000000-0005-0000-0000-00005B040000}"/>
    <cellStyle name="Normal 2 16" xfId="142" xr:uid="{00000000-0005-0000-0000-00005C040000}"/>
    <cellStyle name="Normal 2 17" xfId="143" xr:uid="{00000000-0005-0000-0000-00005D040000}"/>
    <cellStyle name="Normal 2 18" xfId="144" xr:uid="{00000000-0005-0000-0000-00005E040000}"/>
    <cellStyle name="Normal 2 19" xfId="145" xr:uid="{00000000-0005-0000-0000-00005F040000}"/>
    <cellStyle name="Normal 2 2" xfId="2" xr:uid="{00000000-0005-0000-0000-000060040000}"/>
    <cellStyle name="Normal 2 2 10" xfId="1282" xr:uid="{00000000-0005-0000-0000-000061040000}"/>
    <cellStyle name="Normal 2 2 10 2" xfId="1747" xr:uid="{00000000-0005-0000-0000-000062040000}"/>
    <cellStyle name="Normal 2 2 11" xfId="1345" xr:uid="{00000000-0005-0000-0000-000063040000}"/>
    <cellStyle name="Normal 2 2 2" xfId="147" xr:uid="{00000000-0005-0000-0000-000064040000}"/>
    <cellStyle name="Normal 2 2 2 2" xfId="727" xr:uid="{00000000-0005-0000-0000-000065040000}"/>
    <cellStyle name="Normal 2 2 2 2 2" xfId="925" xr:uid="{00000000-0005-0000-0000-000066040000}"/>
    <cellStyle name="Normal 2 2 2 2 2 2" xfId="1124" xr:uid="{00000000-0005-0000-0000-000067040000}"/>
    <cellStyle name="Normal 2 2 2 2 2 2 2" xfId="1584" xr:uid="{00000000-0005-0000-0000-000068040000}"/>
    <cellStyle name="Normal 2 2 2 2 2 3" xfId="1284" xr:uid="{00000000-0005-0000-0000-000069040000}"/>
    <cellStyle name="Normal 2 2 2 2 2 3 2" xfId="1749" xr:uid="{00000000-0005-0000-0000-00006A040000}"/>
    <cellStyle name="Normal 2 2 2 2 2 4" xfId="1437" xr:uid="{00000000-0005-0000-0000-00006B040000}"/>
    <cellStyle name="Normal 2 2 2 2 3" xfId="1018" xr:uid="{00000000-0005-0000-0000-00006C040000}"/>
    <cellStyle name="Normal 2 2 2 2 3 2" xfId="1125" xr:uid="{00000000-0005-0000-0000-00006D040000}"/>
    <cellStyle name="Normal 2 2 2 2 3 2 2" xfId="1585" xr:uid="{00000000-0005-0000-0000-00006E040000}"/>
    <cellStyle name="Normal 2 2 2 2 3 3" xfId="1285" xr:uid="{00000000-0005-0000-0000-00006F040000}"/>
    <cellStyle name="Normal 2 2 2 2 3 3 2" xfId="1750" xr:uid="{00000000-0005-0000-0000-000070040000}"/>
    <cellStyle name="Normal 2 2 2 2 3 4" xfId="1480" xr:uid="{00000000-0005-0000-0000-000071040000}"/>
    <cellStyle name="Normal 2 2 2 2 4" xfId="1123" xr:uid="{00000000-0005-0000-0000-000072040000}"/>
    <cellStyle name="Normal 2 2 2 2 4 2" xfId="1583" xr:uid="{00000000-0005-0000-0000-000073040000}"/>
    <cellStyle name="Normal 2 2 2 2 5" xfId="1179" xr:uid="{00000000-0005-0000-0000-000074040000}"/>
    <cellStyle name="Normal 2 2 2 2 5 2" xfId="1644" xr:uid="{00000000-0005-0000-0000-000075040000}"/>
    <cellStyle name="Normal 2 2 2 2 6" xfId="1283" xr:uid="{00000000-0005-0000-0000-000076040000}"/>
    <cellStyle name="Normal 2 2 2 2 6 2" xfId="1748" xr:uid="{00000000-0005-0000-0000-000077040000}"/>
    <cellStyle name="Normal 2 2 2 2 7" xfId="1380" xr:uid="{00000000-0005-0000-0000-000078040000}"/>
    <cellStyle name="Normal 2 2 2 3" xfId="374" xr:uid="{00000000-0005-0000-0000-000079040000}"/>
    <cellStyle name="Normal 2 2 3" xfId="148" xr:uid="{00000000-0005-0000-0000-00007A040000}"/>
    <cellStyle name="Normal 2 2 3 2" xfId="926" xr:uid="{00000000-0005-0000-0000-00007B040000}"/>
    <cellStyle name="Normal 2 2 3 2 2" xfId="1127" xr:uid="{00000000-0005-0000-0000-00007C040000}"/>
    <cellStyle name="Normal 2 2 3 2 2 2" xfId="1587" xr:uid="{00000000-0005-0000-0000-00007D040000}"/>
    <cellStyle name="Normal 2 2 3 2 3" xfId="1287" xr:uid="{00000000-0005-0000-0000-00007E040000}"/>
    <cellStyle name="Normal 2 2 3 2 3 2" xfId="1752" xr:uid="{00000000-0005-0000-0000-00007F040000}"/>
    <cellStyle name="Normal 2 2 3 2 4" xfId="1438" xr:uid="{00000000-0005-0000-0000-000080040000}"/>
    <cellStyle name="Normal 2 2 3 3" xfId="1019" xr:uid="{00000000-0005-0000-0000-000081040000}"/>
    <cellStyle name="Normal 2 2 3 3 2" xfId="1128" xr:uid="{00000000-0005-0000-0000-000082040000}"/>
    <cellStyle name="Normal 2 2 3 3 2 2" xfId="1588" xr:uid="{00000000-0005-0000-0000-000083040000}"/>
    <cellStyle name="Normal 2 2 3 3 3" xfId="1288" xr:uid="{00000000-0005-0000-0000-000084040000}"/>
    <cellStyle name="Normal 2 2 3 3 3 2" xfId="1753" xr:uid="{00000000-0005-0000-0000-000085040000}"/>
    <cellStyle name="Normal 2 2 3 3 4" xfId="1481" xr:uid="{00000000-0005-0000-0000-000086040000}"/>
    <cellStyle name="Normal 2 2 3 4" xfId="1126" xr:uid="{00000000-0005-0000-0000-000087040000}"/>
    <cellStyle name="Normal 2 2 3 4 2" xfId="1586" xr:uid="{00000000-0005-0000-0000-000088040000}"/>
    <cellStyle name="Normal 2 2 3 5" xfId="1180" xr:uid="{00000000-0005-0000-0000-000089040000}"/>
    <cellStyle name="Normal 2 2 3 5 2" xfId="1645" xr:uid="{00000000-0005-0000-0000-00008A040000}"/>
    <cellStyle name="Normal 2 2 3 6" xfId="1286" xr:uid="{00000000-0005-0000-0000-00008B040000}"/>
    <cellStyle name="Normal 2 2 3 6 2" xfId="1751" xr:uid="{00000000-0005-0000-0000-00008C040000}"/>
    <cellStyle name="Normal 2 2 3 7" xfId="1381" xr:uid="{00000000-0005-0000-0000-00008D040000}"/>
    <cellStyle name="Normal 2 2 3 8" xfId="728" xr:uid="{00000000-0005-0000-0000-00008E040000}"/>
    <cellStyle name="Normal 2 2 4" xfId="146" xr:uid="{00000000-0005-0000-0000-00008F040000}"/>
    <cellStyle name="Normal 2 2 4 2" xfId="927" xr:uid="{00000000-0005-0000-0000-000090040000}"/>
    <cellStyle name="Normal 2 2 4 2 2" xfId="1130" xr:uid="{00000000-0005-0000-0000-000091040000}"/>
    <cellStyle name="Normal 2 2 4 2 2 2" xfId="1590" xr:uid="{00000000-0005-0000-0000-000092040000}"/>
    <cellStyle name="Normal 2 2 4 2 3" xfId="1290" xr:uid="{00000000-0005-0000-0000-000093040000}"/>
    <cellStyle name="Normal 2 2 4 2 3 2" xfId="1755" xr:uid="{00000000-0005-0000-0000-000094040000}"/>
    <cellStyle name="Normal 2 2 4 2 4" xfId="1439" xr:uid="{00000000-0005-0000-0000-000095040000}"/>
    <cellStyle name="Normal 2 2 4 3" xfId="1020" xr:uid="{00000000-0005-0000-0000-000096040000}"/>
    <cellStyle name="Normal 2 2 4 3 2" xfId="1131" xr:uid="{00000000-0005-0000-0000-000097040000}"/>
    <cellStyle name="Normal 2 2 4 3 2 2" xfId="1591" xr:uid="{00000000-0005-0000-0000-000098040000}"/>
    <cellStyle name="Normal 2 2 4 3 3" xfId="1291" xr:uid="{00000000-0005-0000-0000-000099040000}"/>
    <cellStyle name="Normal 2 2 4 3 3 2" xfId="1756" xr:uid="{00000000-0005-0000-0000-00009A040000}"/>
    <cellStyle name="Normal 2 2 4 3 4" xfId="1482" xr:uid="{00000000-0005-0000-0000-00009B040000}"/>
    <cellStyle name="Normal 2 2 4 4" xfId="1129" xr:uid="{00000000-0005-0000-0000-00009C040000}"/>
    <cellStyle name="Normal 2 2 4 4 2" xfId="1589" xr:uid="{00000000-0005-0000-0000-00009D040000}"/>
    <cellStyle name="Normal 2 2 4 5" xfId="1181" xr:uid="{00000000-0005-0000-0000-00009E040000}"/>
    <cellStyle name="Normal 2 2 4 5 2" xfId="1646" xr:uid="{00000000-0005-0000-0000-00009F040000}"/>
    <cellStyle name="Normal 2 2 4 6" xfId="1289" xr:uid="{00000000-0005-0000-0000-0000A0040000}"/>
    <cellStyle name="Normal 2 2 4 6 2" xfId="1754" xr:uid="{00000000-0005-0000-0000-0000A1040000}"/>
    <cellStyle name="Normal 2 2 4 7" xfId="1382" xr:uid="{00000000-0005-0000-0000-0000A2040000}"/>
    <cellStyle name="Normal 2 2 4 8" xfId="729" xr:uid="{00000000-0005-0000-0000-0000A3040000}"/>
    <cellStyle name="Normal 2 2 5" xfId="730" xr:uid="{00000000-0005-0000-0000-0000A4040000}"/>
    <cellStyle name="Normal 2 2 6" xfId="836" xr:uid="{00000000-0005-0000-0000-0000A5040000}"/>
    <cellStyle name="Normal 2 2 7" xfId="726" xr:uid="{00000000-0005-0000-0000-0000A6040000}"/>
    <cellStyle name="Normal 2 2 8" xfId="961" xr:uid="{00000000-0005-0000-0000-0000A7040000}"/>
    <cellStyle name="Normal 2 2 8 2" xfId="1132" xr:uid="{00000000-0005-0000-0000-0000A8040000}"/>
    <cellStyle name="Normal 2 2 8 2 2" xfId="1592" xr:uid="{00000000-0005-0000-0000-0000A9040000}"/>
    <cellStyle name="Normal 2 2 8 3" xfId="1292" xr:uid="{00000000-0005-0000-0000-0000AA040000}"/>
    <cellStyle name="Normal 2 2 8 3 2" xfId="1757" xr:uid="{00000000-0005-0000-0000-0000AB040000}"/>
    <cellStyle name="Normal 2 2 8 4" xfId="1447" xr:uid="{00000000-0005-0000-0000-0000AC040000}"/>
    <cellStyle name="Normal 2 2 9" xfId="1122" xr:uid="{00000000-0005-0000-0000-0000AD040000}"/>
    <cellStyle name="Normal 2 2 9 2" xfId="1582" xr:uid="{00000000-0005-0000-0000-0000AE040000}"/>
    <cellStyle name="Normal 2 20" xfId="149" xr:uid="{00000000-0005-0000-0000-0000AF040000}"/>
    <cellStyle name="Normal 2 21" xfId="150" xr:uid="{00000000-0005-0000-0000-0000B0040000}"/>
    <cellStyle name="Normal 2 22" xfId="151" xr:uid="{00000000-0005-0000-0000-0000B1040000}"/>
    <cellStyle name="Normal 2 23" xfId="152" xr:uid="{00000000-0005-0000-0000-0000B2040000}"/>
    <cellStyle name="Normal 2 24" xfId="153" xr:uid="{00000000-0005-0000-0000-0000B3040000}"/>
    <cellStyle name="Normal 2 25" xfId="154" xr:uid="{00000000-0005-0000-0000-0000B4040000}"/>
    <cellStyle name="Normal 2 26" xfId="155" xr:uid="{00000000-0005-0000-0000-0000B5040000}"/>
    <cellStyle name="Normal 2 27" xfId="156" xr:uid="{00000000-0005-0000-0000-0000B6040000}"/>
    <cellStyle name="Normal 2 28" xfId="157" xr:uid="{00000000-0005-0000-0000-0000B7040000}"/>
    <cellStyle name="Normal 2 29" xfId="158" xr:uid="{00000000-0005-0000-0000-0000B8040000}"/>
    <cellStyle name="Normal 2 3" xfId="159" xr:uid="{00000000-0005-0000-0000-0000B9040000}"/>
    <cellStyle name="Normal 2 3 10" xfId="731" xr:uid="{00000000-0005-0000-0000-0000BA040000}"/>
    <cellStyle name="Normal 2 3 2" xfId="160" xr:uid="{00000000-0005-0000-0000-0000BB040000}"/>
    <cellStyle name="Normal 2 3 2 2" xfId="161" xr:uid="{00000000-0005-0000-0000-0000BC040000}"/>
    <cellStyle name="Normal 2 3 2 2 2" xfId="162" xr:uid="{00000000-0005-0000-0000-0000BD040000}"/>
    <cellStyle name="Normal 2 3 2 2 2 2" xfId="163" xr:uid="{00000000-0005-0000-0000-0000BE040000}"/>
    <cellStyle name="Normal 2 3 2 2 3" xfId="1294" xr:uid="{00000000-0005-0000-0000-0000BF040000}"/>
    <cellStyle name="Normal 2 3 2 2 3 2" xfId="1759" xr:uid="{00000000-0005-0000-0000-0000C0040000}"/>
    <cellStyle name="Normal 2 3 2 2 4" xfId="1440" xr:uid="{00000000-0005-0000-0000-0000C1040000}"/>
    <cellStyle name="Normal 2 3 2 3" xfId="164" xr:uid="{00000000-0005-0000-0000-0000C2040000}"/>
    <cellStyle name="Normal 2 3 2 3 2" xfId="165" xr:uid="{00000000-0005-0000-0000-0000C3040000}"/>
    <cellStyle name="Normal 2 3 2 3 2 2" xfId="1594" xr:uid="{00000000-0005-0000-0000-0000C4040000}"/>
    <cellStyle name="Normal 2 3 2 3 3" xfId="166" xr:uid="{00000000-0005-0000-0000-0000C5040000}"/>
    <cellStyle name="Normal 2 3 2 3 3 2" xfId="1760" xr:uid="{00000000-0005-0000-0000-0000C6040000}"/>
    <cellStyle name="Normal 2 3 2 3 4" xfId="167" xr:uid="{00000000-0005-0000-0000-0000C7040000}"/>
    <cellStyle name="Normal 2 3 2 3 5" xfId="168" xr:uid="{00000000-0005-0000-0000-0000C8040000}"/>
    <cellStyle name="Normal 2 3 2 3 6" xfId="169" xr:uid="{00000000-0005-0000-0000-0000C9040000}"/>
    <cellStyle name="Normal 2 3 2 3 6 2" xfId="170" xr:uid="{00000000-0005-0000-0000-0000CA040000}"/>
    <cellStyle name="Normal 2 3 2 3 6 2 2" xfId="171" xr:uid="{00000000-0005-0000-0000-0000CB040000}"/>
    <cellStyle name="Normal 2 3 2 3 6 2 2 2" xfId="172" xr:uid="{00000000-0005-0000-0000-0000CC040000}"/>
    <cellStyle name="Normal 2 3 2 4" xfId="173" xr:uid="{00000000-0005-0000-0000-0000CD040000}"/>
    <cellStyle name="Normal 2 3 2 4 2" xfId="1593" xr:uid="{00000000-0005-0000-0000-0000CE040000}"/>
    <cellStyle name="Normal 2 3 2 5" xfId="1182" xr:uid="{00000000-0005-0000-0000-0000CF040000}"/>
    <cellStyle name="Normal 2 3 2 5 2" xfId="1647" xr:uid="{00000000-0005-0000-0000-0000D0040000}"/>
    <cellStyle name="Normal 2 3 2 6" xfId="1293" xr:uid="{00000000-0005-0000-0000-0000D1040000}"/>
    <cellStyle name="Normal 2 3 2 6 2" xfId="1758" xr:uid="{00000000-0005-0000-0000-0000D2040000}"/>
    <cellStyle name="Normal 2 3 2 7" xfId="1383" xr:uid="{00000000-0005-0000-0000-0000D3040000}"/>
    <cellStyle name="Normal 2 3 3" xfId="174" xr:uid="{00000000-0005-0000-0000-0000D4040000}"/>
    <cellStyle name="Normal 2 3 3 2" xfId="175" xr:uid="{00000000-0005-0000-0000-0000D5040000}"/>
    <cellStyle name="Normal 2 3 3 2 2" xfId="1595" xr:uid="{00000000-0005-0000-0000-0000D6040000}"/>
    <cellStyle name="Normal 2 3 3 3" xfId="1295" xr:uid="{00000000-0005-0000-0000-0000D7040000}"/>
    <cellStyle name="Normal 2 3 3 3 2" xfId="1761" xr:uid="{00000000-0005-0000-0000-0000D8040000}"/>
    <cellStyle name="Normal 2 3 3 4" xfId="1403" xr:uid="{00000000-0005-0000-0000-0000D9040000}"/>
    <cellStyle name="Normal 2 3 4" xfId="176" xr:uid="{00000000-0005-0000-0000-0000DA040000}"/>
    <cellStyle name="Normal 2 3 4 2" xfId="177" xr:uid="{00000000-0005-0000-0000-0000DB040000}"/>
    <cellStyle name="Normal 2 3 4 2 2" xfId="178" xr:uid="{00000000-0005-0000-0000-0000DC040000}"/>
    <cellStyle name="Normal 2 3 5" xfId="179" xr:uid="{00000000-0005-0000-0000-0000DD040000}"/>
    <cellStyle name="Normal 2 3 5 2" xfId="180" xr:uid="{00000000-0005-0000-0000-0000DE040000}"/>
    <cellStyle name="Normal 2 3 5 2 2" xfId="181" xr:uid="{00000000-0005-0000-0000-0000DF040000}"/>
    <cellStyle name="Normal 2 3 6" xfId="182" xr:uid="{00000000-0005-0000-0000-0000E0040000}"/>
    <cellStyle name="Normal 2 3 6 2" xfId="183" xr:uid="{00000000-0005-0000-0000-0000E1040000}"/>
    <cellStyle name="Normal 2 3 7" xfId="184" xr:uid="{00000000-0005-0000-0000-0000E2040000}"/>
    <cellStyle name="Normal 2 3 7 2" xfId="185" xr:uid="{00000000-0005-0000-0000-0000E3040000}"/>
    <cellStyle name="Normal 2 3 7 3" xfId="186" xr:uid="{00000000-0005-0000-0000-0000E4040000}"/>
    <cellStyle name="Normal 2 3 7 4" xfId="187" xr:uid="{00000000-0005-0000-0000-0000E5040000}"/>
    <cellStyle name="Normal 2 3 7 5" xfId="188" xr:uid="{00000000-0005-0000-0000-0000E6040000}"/>
    <cellStyle name="Normal 2 3 7 6" xfId="189" xr:uid="{00000000-0005-0000-0000-0000E7040000}"/>
    <cellStyle name="Normal 2 3 7 6 2" xfId="190" xr:uid="{00000000-0005-0000-0000-0000E8040000}"/>
    <cellStyle name="Normal 2 3 7 6 2 2" xfId="191" xr:uid="{00000000-0005-0000-0000-0000E9040000}"/>
    <cellStyle name="Normal 2 3 7 6 2 2 2" xfId="192" xr:uid="{00000000-0005-0000-0000-0000EA040000}"/>
    <cellStyle name="Normal 2 3 8" xfId="193" xr:uid="{00000000-0005-0000-0000-0000EB040000}"/>
    <cellStyle name="Normal 2 3 9" xfId="194" xr:uid="{00000000-0005-0000-0000-0000EC040000}"/>
    <cellStyle name="Normal 2 30" xfId="195" xr:uid="{00000000-0005-0000-0000-0000ED040000}"/>
    <cellStyle name="Normal 2 31" xfId="196" xr:uid="{00000000-0005-0000-0000-0000EE040000}"/>
    <cellStyle name="Normal 2 32" xfId="197" xr:uid="{00000000-0005-0000-0000-0000EF040000}"/>
    <cellStyle name="Normal 2 33" xfId="198" xr:uid="{00000000-0005-0000-0000-0000F0040000}"/>
    <cellStyle name="Normal 2 34" xfId="199" xr:uid="{00000000-0005-0000-0000-0000F1040000}"/>
    <cellStyle name="Normal 2 35" xfId="200" xr:uid="{00000000-0005-0000-0000-0000F2040000}"/>
    <cellStyle name="Normal 2 36" xfId="201" xr:uid="{00000000-0005-0000-0000-0000F3040000}"/>
    <cellStyle name="Normal 2 37" xfId="202" xr:uid="{00000000-0005-0000-0000-0000F4040000}"/>
    <cellStyle name="Normal 2 38" xfId="203" xr:uid="{00000000-0005-0000-0000-0000F5040000}"/>
    <cellStyle name="Normal 2 39" xfId="204" xr:uid="{00000000-0005-0000-0000-0000F6040000}"/>
    <cellStyle name="Normal 2 4" xfId="205" xr:uid="{00000000-0005-0000-0000-0000F7040000}"/>
    <cellStyle name="Normal 2 4 10" xfId="732" xr:uid="{00000000-0005-0000-0000-0000F8040000}"/>
    <cellStyle name="Normal 2 4 2" xfId="206" xr:uid="{00000000-0005-0000-0000-0000F9040000}"/>
    <cellStyle name="Normal 2 4 2 2" xfId="928" xr:uid="{00000000-0005-0000-0000-0000FA040000}"/>
    <cellStyle name="Normal 2 4 2 2 2" xfId="1135" xr:uid="{00000000-0005-0000-0000-0000FB040000}"/>
    <cellStyle name="Normal 2 4 2 2 2 2" xfId="1598" xr:uid="{00000000-0005-0000-0000-0000FC040000}"/>
    <cellStyle name="Normal 2 4 2 2 3" xfId="1298" xr:uid="{00000000-0005-0000-0000-0000FD040000}"/>
    <cellStyle name="Normal 2 4 2 2 3 2" xfId="1764" xr:uid="{00000000-0005-0000-0000-0000FE040000}"/>
    <cellStyle name="Normal 2 4 2 2 4" xfId="1441" xr:uid="{00000000-0005-0000-0000-0000FF040000}"/>
    <cellStyle name="Normal 2 4 2 3" xfId="1022" xr:uid="{00000000-0005-0000-0000-000000050000}"/>
    <cellStyle name="Normal 2 4 2 3 2" xfId="1136" xr:uid="{00000000-0005-0000-0000-000001050000}"/>
    <cellStyle name="Normal 2 4 2 3 2 2" xfId="1599" xr:uid="{00000000-0005-0000-0000-000002050000}"/>
    <cellStyle name="Normal 2 4 2 3 3" xfId="1299" xr:uid="{00000000-0005-0000-0000-000003050000}"/>
    <cellStyle name="Normal 2 4 2 3 3 2" xfId="1765" xr:uid="{00000000-0005-0000-0000-000004050000}"/>
    <cellStyle name="Normal 2 4 2 3 4" xfId="1484" xr:uid="{00000000-0005-0000-0000-000005050000}"/>
    <cellStyle name="Normal 2 4 2 4" xfId="1134" xr:uid="{00000000-0005-0000-0000-000006050000}"/>
    <cellStyle name="Normal 2 4 2 4 2" xfId="1597" xr:uid="{00000000-0005-0000-0000-000007050000}"/>
    <cellStyle name="Normal 2 4 2 5" xfId="1184" xr:uid="{00000000-0005-0000-0000-000008050000}"/>
    <cellStyle name="Normal 2 4 2 5 2" xfId="1649" xr:uid="{00000000-0005-0000-0000-000009050000}"/>
    <cellStyle name="Normal 2 4 2 6" xfId="1297" xr:uid="{00000000-0005-0000-0000-00000A050000}"/>
    <cellStyle name="Normal 2 4 2 6 2" xfId="1763" xr:uid="{00000000-0005-0000-0000-00000B050000}"/>
    <cellStyle name="Normal 2 4 2 7" xfId="1385" xr:uid="{00000000-0005-0000-0000-00000C050000}"/>
    <cellStyle name="Normal 2 4 2 8" xfId="733" xr:uid="{00000000-0005-0000-0000-00000D050000}"/>
    <cellStyle name="Normal 2 4 3" xfId="207" xr:uid="{00000000-0005-0000-0000-00000E050000}"/>
    <cellStyle name="Normal 2 4 3 2" xfId="1137" xr:uid="{00000000-0005-0000-0000-00000F050000}"/>
    <cellStyle name="Normal 2 4 3 2 2" xfId="1600" xr:uid="{00000000-0005-0000-0000-000010050000}"/>
    <cellStyle name="Normal 2 4 3 3" xfId="1300" xr:uid="{00000000-0005-0000-0000-000011050000}"/>
    <cellStyle name="Normal 2 4 3 3 2" xfId="1766" xr:uid="{00000000-0005-0000-0000-000012050000}"/>
    <cellStyle name="Normal 2 4 3 4" xfId="1396" xr:uid="{00000000-0005-0000-0000-000013050000}"/>
    <cellStyle name="Normal 2 4 3 5" xfId="852" xr:uid="{00000000-0005-0000-0000-000014050000}"/>
    <cellStyle name="Normal 2 4 4" xfId="1021" xr:uid="{00000000-0005-0000-0000-000015050000}"/>
    <cellStyle name="Normal 2 4 4 2" xfId="1138" xr:uid="{00000000-0005-0000-0000-000016050000}"/>
    <cellStyle name="Normal 2 4 4 2 2" xfId="1601" xr:uid="{00000000-0005-0000-0000-000017050000}"/>
    <cellStyle name="Normal 2 4 4 3" xfId="1301" xr:uid="{00000000-0005-0000-0000-000018050000}"/>
    <cellStyle name="Normal 2 4 4 3 2" xfId="1767" xr:uid="{00000000-0005-0000-0000-000019050000}"/>
    <cellStyle name="Normal 2 4 4 4" xfId="1483" xr:uid="{00000000-0005-0000-0000-00001A050000}"/>
    <cellStyle name="Normal 2 4 5" xfId="1133" xr:uid="{00000000-0005-0000-0000-00001B050000}"/>
    <cellStyle name="Normal 2 4 5 2" xfId="1596" xr:uid="{00000000-0005-0000-0000-00001C050000}"/>
    <cellStyle name="Normal 2 4 6" xfId="1183" xr:uid="{00000000-0005-0000-0000-00001D050000}"/>
    <cellStyle name="Normal 2 4 6 2" xfId="1648" xr:uid="{00000000-0005-0000-0000-00001E050000}"/>
    <cellStyle name="Normal 2 4 7" xfId="1296" xr:uid="{00000000-0005-0000-0000-00001F050000}"/>
    <cellStyle name="Normal 2 4 7 2" xfId="1762" xr:uid="{00000000-0005-0000-0000-000020050000}"/>
    <cellStyle name="Normal 2 4 8" xfId="1384" xr:uid="{00000000-0005-0000-0000-000021050000}"/>
    <cellStyle name="Normal 2 4 9" xfId="1811" xr:uid="{00000000-0005-0000-0000-000022050000}"/>
    <cellStyle name="Normal 2 40" xfId="208" xr:uid="{00000000-0005-0000-0000-000023050000}"/>
    <cellStyle name="Normal 2 41" xfId="135" xr:uid="{00000000-0005-0000-0000-000024050000}"/>
    <cellStyle name="Normal 2 42" xfId="46" xr:uid="{00000000-0005-0000-0000-000025050000}"/>
    <cellStyle name="Normal 2 5" xfId="209" xr:uid="{00000000-0005-0000-0000-000026050000}"/>
    <cellStyle name="Normal 2 5 2" xfId="734" xr:uid="{00000000-0005-0000-0000-000027050000}"/>
    <cellStyle name="Normal 2 5 3" xfId="735" xr:uid="{00000000-0005-0000-0000-000028050000}"/>
    <cellStyle name="Normal 2 5 4" xfId="873" xr:uid="{00000000-0005-0000-0000-000029050000}"/>
    <cellStyle name="Normal 2 5 5" xfId="392" xr:uid="{00000000-0005-0000-0000-00002A050000}"/>
    <cellStyle name="Normal 2 58 3" xfId="210" xr:uid="{00000000-0005-0000-0000-00002B050000}"/>
    <cellStyle name="Normal 2 6" xfId="211" xr:uid="{00000000-0005-0000-0000-00002C050000}"/>
    <cellStyle name="Normal 2 6 2" xfId="736" xr:uid="{00000000-0005-0000-0000-00002D050000}"/>
    <cellStyle name="Normal 2 7" xfId="212" xr:uid="{00000000-0005-0000-0000-00002E050000}"/>
    <cellStyle name="Normal 2 8" xfId="213" xr:uid="{00000000-0005-0000-0000-00002F050000}"/>
    <cellStyle name="Normal 2 8 2" xfId="737" xr:uid="{00000000-0005-0000-0000-000030050000}"/>
    <cellStyle name="Normal 2 9" xfId="214" xr:uid="{00000000-0005-0000-0000-000031050000}"/>
    <cellStyle name="Normal 2 9 2" xfId="738" xr:uid="{00000000-0005-0000-0000-000032050000}"/>
    <cellStyle name="Normal 2_Cuentas 3 y 5 Final Revisada" xfId="739" xr:uid="{00000000-0005-0000-0000-000033050000}"/>
    <cellStyle name="Normal 20" xfId="215" xr:uid="{00000000-0005-0000-0000-000034050000}"/>
    <cellStyle name="Normal 21" xfId="216" xr:uid="{00000000-0005-0000-0000-000035050000}"/>
    <cellStyle name="Normal 21 2" xfId="402" xr:uid="{00000000-0005-0000-0000-000036050000}"/>
    <cellStyle name="Normal 22" xfId="217" xr:uid="{00000000-0005-0000-0000-000037050000}"/>
    <cellStyle name="Normal 23" xfId="218" xr:uid="{00000000-0005-0000-0000-000038050000}"/>
    <cellStyle name="Normal 24" xfId="219" xr:uid="{00000000-0005-0000-0000-000039050000}"/>
    <cellStyle name="Normal 25" xfId="220" xr:uid="{00000000-0005-0000-0000-00003A050000}"/>
    <cellStyle name="Normal 26" xfId="221" xr:uid="{00000000-0005-0000-0000-00003B050000}"/>
    <cellStyle name="Normal 26 2" xfId="391" xr:uid="{00000000-0005-0000-0000-00003C050000}"/>
    <cellStyle name="Normal 27" xfId="222" xr:uid="{00000000-0005-0000-0000-00003D050000}"/>
    <cellStyle name="Normal 27 2" xfId="906" xr:uid="{00000000-0005-0000-0000-00003E050000}"/>
    <cellStyle name="Normal 27 2 2" xfId="1140" xr:uid="{00000000-0005-0000-0000-00003F050000}"/>
    <cellStyle name="Normal 27 2 2 2" xfId="1603" xr:uid="{00000000-0005-0000-0000-000040050000}"/>
    <cellStyle name="Normal 27 2 3" xfId="1303" xr:uid="{00000000-0005-0000-0000-000041050000}"/>
    <cellStyle name="Normal 27 2 3 2" xfId="1769" xr:uid="{00000000-0005-0000-0000-000042050000}"/>
    <cellStyle name="Normal 27 2 4" xfId="1436" xr:uid="{00000000-0005-0000-0000-000043050000}"/>
    <cellStyle name="Normal 27 3" xfId="1017" xr:uid="{00000000-0005-0000-0000-000044050000}"/>
    <cellStyle name="Normal 27 3 2" xfId="1141" xr:uid="{00000000-0005-0000-0000-000045050000}"/>
    <cellStyle name="Normal 27 3 2 2" xfId="1604" xr:uid="{00000000-0005-0000-0000-000046050000}"/>
    <cellStyle name="Normal 27 3 3" xfId="1304" xr:uid="{00000000-0005-0000-0000-000047050000}"/>
    <cellStyle name="Normal 27 3 3 2" xfId="1770" xr:uid="{00000000-0005-0000-0000-000048050000}"/>
    <cellStyle name="Normal 27 3 4" xfId="1479" xr:uid="{00000000-0005-0000-0000-000049050000}"/>
    <cellStyle name="Normal 27 4" xfId="1139" xr:uid="{00000000-0005-0000-0000-00004A050000}"/>
    <cellStyle name="Normal 27 4 2" xfId="1602" xr:uid="{00000000-0005-0000-0000-00004B050000}"/>
    <cellStyle name="Normal 27 5" xfId="1178" xr:uid="{00000000-0005-0000-0000-00004C050000}"/>
    <cellStyle name="Normal 27 5 2" xfId="1643" xr:uid="{00000000-0005-0000-0000-00004D050000}"/>
    <cellStyle name="Normal 27 6" xfId="1302" xr:uid="{00000000-0005-0000-0000-00004E050000}"/>
    <cellStyle name="Normal 27 6 2" xfId="1768" xr:uid="{00000000-0005-0000-0000-00004F050000}"/>
    <cellStyle name="Normal 27 7" xfId="1379" xr:uid="{00000000-0005-0000-0000-000050050000}"/>
    <cellStyle name="Normal 27 8" xfId="408" xr:uid="{00000000-0005-0000-0000-000051050000}"/>
    <cellStyle name="Normal 28" xfId="223" xr:uid="{00000000-0005-0000-0000-000052050000}"/>
    <cellStyle name="Normal 29" xfId="224" xr:uid="{00000000-0005-0000-0000-000053050000}"/>
    <cellStyle name="Normal 29 2" xfId="959" xr:uid="{00000000-0005-0000-0000-000054050000}"/>
    <cellStyle name="Normal 3" xfId="8" xr:uid="{00000000-0005-0000-0000-000055050000}"/>
    <cellStyle name="Normal 3 10" xfId="226" xr:uid="{00000000-0005-0000-0000-000056050000}"/>
    <cellStyle name="Normal 3 10 2" xfId="1343" xr:uid="{00000000-0005-0000-0000-000057050000}"/>
    <cellStyle name="Normal 3 11" xfId="225" xr:uid="{00000000-0005-0000-0000-000058050000}"/>
    <cellStyle name="Normal 3 12" xfId="51" xr:uid="{00000000-0005-0000-0000-000059050000}"/>
    <cellStyle name="Normal 3 2" xfId="53" xr:uid="{00000000-0005-0000-0000-00005A050000}"/>
    <cellStyle name="Normal 3 2 2" xfId="228" xr:uid="{00000000-0005-0000-0000-00005B050000}"/>
    <cellStyle name="Normal 3 2 2 2" xfId="835" xr:uid="{00000000-0005-0000-0000-00005C050000}"/>
    <cellStyle name="Normal 3 2 3" xfId="227" xr:uid="{00000000-0005-0000-0000-00005D050000}"/>
    <cellStyle name="Normal 3 2 3 2" xfId="741" xr:uid="{00000000-0005-0000-0000-00005E050000}"/>
    <cellStyle name="Normal 3 2 4" xfId="406" xr:uid="{00000000-0005-0000-0000-00005F050000}"/>
    <cellStyle name="Normal 3 2 5" xfId="1009" xr:uid="{00000000-0005-0000-0000-000060050000}"/>
    <cellStyle name="Normal 3 2 6" xfId="379" xr:uid="{00000000-0005-0000-0000-000061050000}"/>
    <cellStyle name="Normal 3 3" xfId="229" xr:uid="{00000000-0005-0000-0000-000062050000}"/>
    <cellStyle name="Normal 3 3 2" xfId="929" xr:uid="{00000000-0005-0000-0000-000063050000}"/>
    <cellStyle name="Normal 3 3 2 2" xfId="1143" xr:uid="{00000000-0005-0000-0000-000064050000}"/>
    <cellStyle name="Normal 3 3 2 2 2" xfId="1607" xr:uid="{00000000-0005-0000-0000-000065050000}"/>
    <cellStyle name="Normal 3 3 2 3" xfId="1306" xr:uid="{00000000-0005-0000-0000-000066050000}"/>
    <cellStyle name="Normal 3 3 2 3 2" xfId="1773" xr:uid="{00000000-0005-0000-0000-000067050000}"/>
    <cellStyle name="Normal 3 3 2 4" xfId="1442" xr:uid="{00000000-0005-0000-0000-000068050000}"/>
    <cellStyle name="Normal 3 3 3" xfId="1023" xr:uid="{00000000-0005-0000-0000-000069050000}"/>
    <cellStyle name="Normal 3 3 3 2" xfId="1144" xr:uid="{00000000-0005-0000-0000-00006A050000}"/>
    <cellStyle name="Normal 3 3 3 2 2" xfId="1608" xr:uid="{00000000-0005-0000-0000-00006B050000}"/>
    <cellStyle name="Normal 3 3 3 3" xfId="1307" xr:uid="{00000000-0005-0000-0000-00006C050000}"/>
    <cellStyle name="Normal 3 3 3 3 2" xfId="1774" xr:uid="{00000000-0005-0000-0000-00006D050000}"/>
    <cellStyle name="Normal 3 3 3 4" xfId="1485" xr:uid="{00000000-0005-0000-0000-00006E050000}"/>
    <cellStyle name="Normal 3 3 4" xfId="1142" xr:uid="{00000000-0005-0000-0000-00006F050000}"/>
    <cellStyle name="Normal 3 3 4 2" xfId="1606" xr:uid="{00000000-0005-0000-0000-000070050000}"/>
    <cellStyle name="Normal 3 3 5" xfId="1185" xr:uid="{00000000-0005-0000-0000-000071050000}"/>
    <cellStyle name="Normal 3 3 5 2" xfId="1650" xr:uid="{00000000-0005-0000-0000-000072050000}"/>
    <cellStyle name="Normal 3 3 6" xfId="1305" xr:uid="{00000000-0005-0000-0000-000073050000}"/>
    <cellStyle name="Normal 3 3 6 2" xfId="1772" xr:uid="{00000000-0005-0000-0000-000074050000}"/>
    <cellStyle name="Normal 3 3 7" xfId="1386" xr:uid="{00000000-0005-0000-0000-000075050000}"/>
    <cellStyle name="Normal 3 3 8" xfId="742" xr:uid="{00000000-0005-0000-0000-000076050000}"/>
    <cellStyle name="Normal 3 4" xfId="230" xr:uid="{00000000-0005-0000-0000-000077050000}"/>
    <cellStyle name="Normal 3 4 2" xfId="743" xr:uid="{00000000-0005-0000-0000-000078050000}"/>
    <cellStyle name="Normal 3 5" xfId="231" xr:uid="{00000000-0005-0000-0000-000079050000}"/>
    <cellStyle name="Normal 3 5 2" xfId="744" xr:uid="{00000000-0005-0000-0000-00007A050000}"/>
    <cellStyle name="Normal 3 6" xfId="232" xr:uid="{00000000-0005-0000-0000-00007B050000}"/>
    <cellStyle name="Normal 3 6 2" xfId="233" xr:uid="{00000000-0005-0000-0000-00007C050000}"/>
    <cellStyle name="Normal 3 6 3" xfId="234" xr:uid="{00000000-0005-0000-0000-00007D050000}"/>
    <cellStyle name="Normal 3 6 4" xfId="235" xr:uid="{00000000-0005-0000-0000-00007E050000}"/>
    <cellStyle name="Normal 3 6 5" xfId="236" xr:uid="{00000000-0005-0000-0000-00007F050000}"/>
    <cellStyle name="Normal 3 6 6" xfId="740" xr:uid="{00000000-0005-0000-0000-000080050000}"/>
    <cellStyle name="Normal 3 7" xfId="237" xr:uid="{00000000-0005-0000-0000-000081050000}"/>
    <cellStyle name="Normal 3 7 2" xfId="1145" xr:uid="{00000000-0005-0000-0000-000082050000}"/>
    <cellStyle name="Normal 3 7 2 2" xfId="1609" xr:uid="{00000000-0005-0000-0000-000083050000}"/>
    <cellStyle name="Normal 3 7 3" xfId="1308" xr:uid="{00000000-0005-0000-0000-000084050000}"/>
    <cellStyle name="Normal 3 7 3 2" xfId="1775" xr:uid="{00000000-0005-0000-0000-000085050000}"/>
    <cellStyle name="Normal 3 7 4" xfId="1446" xr:uid="{00000000-0005-0000-0000-000086050000}"/>
    <cellStyle name="Normal 3 8" xfId="238" xr:uid="{00000000-0005-0000-0000-000087050000}"/>
    <cellStyle name="Normal 3 8 2" xfId="1605" xr:uid="{00000000-0005-0000-0000-000088050000}"/>
    <cellStyle name="Normal 3 9" xfId="239" xr:uid="{00000000-0005-0000-0000-000089050000}"/>
    <cellStyle name="Normal 3 9 2" xfId="1771" xr:uid="{00000000-0005-0000-0000-00008A050000}"/>
    <cellStyle name="Normal 30" xfId="240" xr:uid="{00000000-0005-0000-0000-00008B050000}"/>
    <cellStyle name="Normal 30 2" xfId="1032" xr:uid="{00000000-0005-0000-0000-00008C050000}"/>
    <cellStyle name="Normal 31" xfId="241" xr:uid="{00000000-0005-0000-0000-00008D050000}"/>
    <cellStyle name="Normal 31 2" xfId="1193" xr:uid="{00000000-0005-0000-0000-00008E050000}"/>
    <cellStyle name="Normal 32" xfId="242" xr:uid="{00000000-0005-0000-0000-00008F050000}"/>
    <cellStyle name="Normal 32 2" xfId="1342" xr:uid="{00000000-0005-0000-0000-000090050000}"/>
    <cellStyle name="Normal 33" xfId="243" xr:uid="{00000000-0005-0000-0000-000091050000}"/>
    <cellStyle name="Normal 33 2" xfId="1443" xr:uid="{00000000-0005-0000-0000-000092050000}"/>
    <cellStyle name="Normal 34" xfId="244" xr:uid="{00000000-0005-0000-0000-000093050000}"/>
    <cellStyle name="Normal 35" xfId="245" xr:uid="{00000000-0005-0000-0000-000094050000}"/>
    <cellStyle name="Normal 36" xfId="246" xr:uid="{00000000-0005-0000-0000-000095050000}"/>
    <cellStyle name="Normal 37" xfId="247" xr:uid="{00000000-0005-0000-0000-000096050000}"/>
    <cellStyle name="Normal 37 2" xfId="248" xr:uid="{00000000-0005-0000-0000-000097050000}"/>
    <cellStyle name="Normal 37 3" xfId="249" xr:uid="{00000000-0005-0000-0000-000098050000}"/>
    <cellStyle name="Normal 37 4" xfId="250" xr:uid="{00000000-0005-0000-0000-000099050000}"/>
    <cellStyle name="Normal 38" xfId="251" xr:uid="{00000000-0005-0000-0000-00009A050000}"/>
    <cellStyle name="Normal 38 2" xfId="252" xr:uid="{00000000-0005-0000-0000-00009B050000}"/>
    <cellStyle name="Normal 39" xfId="253" xr:uid="{00000000-0005-0000-0000-00009C050000}"/>
    <cellStyle name="Normal 39 2" xfId="254" xr:uid="{00000000-0005-0000-0000-00009D050000}"/>
    <cellStyle name="Normal 4" xfId="255" xr:uid="{00000000-0005-0000-0000-00009E050000}"/>
    <cellStyle name="Normal 4 2" xfId="57" xr:uid="{00000000-0005-0000-0000-00009F050000}"/>
    <cellStyle name="Normal 4 2 10" xfId="256" xr:uid="{00000000-0005-0000-0000-0000A0050000}"/>
    <cellStyle name="Normal 4 2 11" xfId="257" xr:uid="{00000000-0005-0000-0000-0000A1050000}"/>
    <cellStyle name="Normal 4 2 12" xfId="258" xr:uid="{00000000-0005-0000-0000-0000A2050000}"/>
    <cellStyle name="Normal 4 2 13" xfId="259" xr:uid="{00000000-0005-0000-0000-0000A3050000}"/>
    <cellStyle name="Normal 4 2 14" xfId="260" xr:uid="{00000000-0005-0000-0000-0000A4050000}"/>
    <cellStyle name="Normal 4 2 2" xfId="261" xr:uid="{00000000-0005-0000-0000-0000A5050000}"/>
    <cellStyle name="Normal 4 2 2 2" xfId="1146" xr:uid="{00000000-0005-0000-0000-0000A6050000}"/>
    <cellStyle name="Normal 4 2 2 2 2" xfId="1610" xr:uid="{00000000-0005-0000-0000-0000A7050000}"/>
    <cellStyle name="Normal 4 2 2 3" xfId="1309" xr:uid="{00000000-0005-0000-0000-0000A8050000}"/>
    <cellStyle name="Normal 4 2 2 3 2" xfId="1776" xr:uid="{00000000-0005-0000-0000-0000A9050000}"/>
    <cellStyle name="Normal 4 2 2 4" xfId="1401" xr:uid="{00000000-0005-0000-0000-0000AA050000}"/>
    <cellStyle name="Normal 4 2 2 5" xfId="860" xr:uid="{00000000-0005-0000-0000-0000AB050000}"/>
    <cellStyle name="Normal 4 2 3" xfId="262" xr:uid="{00000000-0005-0000-0000-0000AC050000}"/>
    <cellStyle name="Normal 4 2 4" xfId="263" xr:uid="{00000000-0005-0000-0000-0000AD050000}"/>
    <cellStyle name="Normal 4 2 4 2" xfId="264" xr:uid="{00000000-0005-0000-0000-0000AE050000}"/>
    <cellStyle name="Normal 4 2 4 3" xfId="265" xr:uid="{00000000-0005-0000-0000-0000AF050000}"/>
    <cellStyle name="Normal 4 2 4 4" xfId="266" xr:uid="{00000000-0005-0000-0000-0000B0050000}"/>
    <cellStyle name="Normal 4 2 5" xfId="267" xr:uid="{00000000-0005-0000-0000-0000B1050000}"/>
    <cellStyle name="Normal 4 2 5 2" xfId="268" xr:uid="{00000000-0005-0000-0000-0000B2050000}"/>
    <cellStyle name="Normal 4 2 6" xfId="269" xr:uid="{00000000-0005-0000-0000-0000B3050000}"/>
    <cellStyle name="Normal 4 2 6 2" xfId="270" xr:uid="{00000000-0005-0000-0000-0000B4050000}"/>
    <cellStyle name="Normal 4 2 7" xfId="271" xr:uid="{00000000-0005-0000-0000-0000B5050000}"/>
    <cellStyle name="Normal 4 2 7 2" xfId="272" xr:uid="{00000000-0005-0000-0000-0000B6050000}"/>
    <cellStyle name="Normal 4 2 8" xfId="273" xr:uid="{00000000-0005-0000-0000-0000B7050000}"/>
    <cellStyle name="Normal 4 2 8 2" xfId="274" xr:uid="{00000000-0005-0000-0000-0000B8050000}"/>
    <cellStyle name="Normal 4 2 8 2 2" xfId="275" xr:uid="{00000000-0005-0000-0000-0000B9050000}"/>
    <cellStyle name="Normal 4 2 9" xfId="276" xr:uid="{00000000-0005-0000-0000-0000BA050000}"/>
    <cellStyle name="Normal 4 3" xfId="277" xr:uid="{00000000-0005-0000-0000-0000BB050000}"/>
    <cellStyle name="Normal 4 3 2" xfId="874" xr:uid="{00000000-0005-0000-0000-0000BC050000}"/>
    <cellStyle name="Normal 4 3 2 2" xfId="1147" xr:uid="{00000000-0005-0000-0000-0000BD050000}"/>
    <cellStyle name="Normal 4 3 2 2 2" xfId="1611" xr:uid="{00000000-0005-0000-0000-0000BE050000}"/>
    <cellStyle name="Normal 4 3 2 3" xfId="1310" xr:uid="{00000000-0005-0000-0000-0000BF050000}"/>
    <cellStyle name="Normal 4 3 2 3 2" xfId="1777" xr:uid="{00000000-0005-0000-0000-0000C0050000}"/>
    <cellStyle name="Normal 4 3 2 4" xfId="1406" xr:uid="{00000000-0005-0000-0000-0000C1050000}"/>
    <cellStyle name="Normal 4 3 3" xfId="1819" xr:uid="{00000000-0005-0000-0000-0000C2050000}"/>
    <cellStyle name="Normal 4 3 4" xfId="367" xr:uid="{00000000-0005-0000-0000-0000C3050000}"/>
    <cellStyle name="Normal 4 4" xfId="278" xr:uid="{00000000-0005-0000-0000-0000C4050000}"/>
    <cellStyle name="Normal 4 4 2" xfId="1148" xr:uid="{00000000-0005-0000-0000-0000C5050000}"/>
    <cellStyle name="Normal 4 4 2 2" xfId="1612" xr:uid="{00000000-0005-0000-0000-0000C6050000}"/>
    <cellStyle name="Normal 4 4 3" xfId="1311" xr:uid="{00000000-0005-0000-0000-0000C7050000}"/>
    <cellStyle name="Normal 4 4 3 2" xfId="1778" xr:uid="{00000000-0005-0000-0000-0000C8050000}"/>
    <cellStyle name="Normal 4 4 4" xfId="1394" xr:uid="{00000000-0005-0000-0000-0000C9050000}"/>
    <cellStyle name="Normal 4 4 5" xfId="846" xr:uid="{00000000-0005-0000-0000-0000CA050000}"/>
    <cellStyle name="Normal 4 5" xfId="966" xr:uid="{00000000-0005-0000-0000-0000CB050000}"/>
    <cellStyle name="Normal 4 6" xfId="1809" xr:uid="{00000000-0005-0000-0000-0000CC050000}"/>
    <cellStyle name="Normal 4 7" xfId="333" xr:uid="{00000000-0005-0000-0000-0000CD050000}"/>
    <cellStyle name="Normal 40" xfId="279" xr:uid="{00000000-0005-0000-0000-0000CE050000}"/>
    <cellStyle name="Normal 40 2" xfId="280" xr:uid="{00000000-0005-0000-0000-0000CF050000}"/>
    <cellStyle name="Normal 41" xfId="281" xr:uid="{00000000-0005-0000-0000-0000D0050000}"/>
    <cellStyle name="Normal 41 2" xfId="282" xr:uid="{00000000-0005-0000-0000-0000D1050000}"/>
    <cellStyle name="Normal 41 2 2" xfId="283" xr:uid="{00000000-0005-0000-0000-0000D2050000}"/>
    <cellStyle name="Normal 42" xfId="284" xr:uid="{00000000-0005-0000-0000-0000D3050000}"/>
    <cellStyle name="Normal 43" xfId="285" xr:uid="{00000000-0005-0000-0000-0000D4050000}"/>
    <cellStyle name="Normal 44" xfId="286" xr:uid="{00000000-0005-0000-0000-0000D5050000}"/>
    <cellStyle name="Normal 45" xfId="287" xr:uid="{00000000-0005-0000-0000-0000D6050000}"/>
    <cellStyle name="Normal 46" xfId="288" xr:uid="{00000000-0005-0000-0000-0000D7050000}"/>
    <cellStyle name="Normal 47" xfId="289" xr:uid="{00000000-0005-0000-0000-0000D8050000}"/>
    <cellStyle name="Normal 48" xfId="290" xr:uid="{00000000-0005-0000-0000-0000D9050000}"/>
    <cellStyle name="Normal 49" xfId="291" xr:uid="{00000000-0005-0000-0000-0000DA050000}"/>
    <cellStyle name="Normal 5" xfId="292" xr:uid="{00000000-0005-0000-0000-0000DB050000}"/>
    <cellStyle name="Normal 5 10" xfId="1816" xr:uid="{00000000-0005-0000-0000-0000DC050000}"/>
    <cellStyle name="Normal 5 2" xfId="293" xr:uid="{00000000-0005-0000-0000-0000DD050000}"/>
    <cellStyle name="Normal 5 2 2" xfId="876" xr:uid="{00000000-0005-0000-0000-0000DE050000}"/>
    <cellStyle name="Normal 5 2 2 2" xfId="1150" xr:uid="{00000000-0005-0000-0000-0000DF050000}"/>
    <cellStyle name="Normal 5 2 2 2 2" xfId="1614" xr:uid="{00000000-0005-0000-0000-0000E0050000}"/>
    <cellStyle name="Normal 5 2 2 3" xfId="1313" xr:uid="{00000000-0005-0000-0000-0000E1050000}"/>
    <cellStyle name="Normal 5 2 2 3 2" xfId="1780" xr:uid="{00000000-0005-0000-0000-0000E2050000}"/>
    <cellStyle name="Normal 5 2 2 4" xfId="1408" xr:uid="{00000000-0005-0000-0000-0000E3050000}"/>
    <cellStyle name="Normal 5 2 3" xfId="1821" xr:uid="{00000000-0005-0000-0000-0000E4050000}"/>
    <cellStyle name="Normal 5 3" xfId="834" xr:uid="{00000000-0005-0000-0000-0000E5050000}"/>
    <cellStyle name="Normal 5 3 2" xfId="957" xr:uid="{00000000-0005-0000-0000-0000E6050000}"/>
    <cellStyle name="Normal 5 3 2 2" xfId="1152" xr:uid="{00000000-0005-0000-0000-0000E7050000}"/>
    <cellStyle name="Normal 5 3 2 2 2" xfId="1616" xr:uid="{00000000-0005-0000-0000-0000E8050000}"/>
    <cellStyle name="Normal 5 3 2 3" xfId="1315" xr:uid="{00000000-0005-0000-0000-0000E9050000}"/>
    <cellStyle name="Normal 5 3 2 3 2" xfId="1782" xr:uid="{00000000-0005-0000-0000-0000EA050000}"/>
    <cellStyle name="Normal 5 3 2 4" xfId="1444" xr:uid="{00000000-0005-0000-0000-0000EB050000}"/>
    <cellStyle name="Normal 5 3 3" xfId="1027" xr:uid="{00000000-0005-0000-0000-0000EC050000}"/>
    <cellStyle name="Normal 5 3 3 2" xfId="1153" xr:uid="{00000000-0005-0000-0000-0000ED050000}"/>
    <cellStyle name="Normal 5 3 3 2 2" xfId="1617" xr:uid="{00000000-0005-0000-0000-0000EE050000}"/>
    <cellStyle name="Normal 5 3 3 3" xfId="1316" xr:uid="{00000000-0005-0000-0000-0000EF050000}"/>
    <cellStyle name="Normal 5 3 3 3 2" xfId="1783" xr:uid="{00000000-0005-0000-0000-0000F0050000}"/>
    <cellStyle name="Normal 5 3 3 4" xfId="1488" xr:uid="{00000000-0005-0000-0000-0000F1050000}"/>
    <cellStyle name="Normal 5 3 4" xfId="1151" xr:uid="{00000000-0005-0000-0000-0000F2050000}"/>
    <cellStyle name="Normal 5 3 4 2" xfId="1615" xr:uid="{00000000-0005-0000-0000-0000F3050000}"/>
    <cellStyle name="Normal 5 3 5" xfId="1188" xr:uid="{00000000-0005-0000-0000-0000F4050000}"/>
    <cellStyle name="Normal 5 3 5 2" xfId="1653" xr:uid="{00000000-0005-0000-0000-0000F5050000}"/>
    <cellStyle name="Normal 5 3 6" xfId="1314" xr:uid="{00000000-0005-0000-0000-0000F6050000}"/>
    <cellStyle name="Normal 5 3 6 2" xfId="1781" xr:uid="{00000000-0005-0000-0000-0000F7050000}"/>
    <cellStyle name="Normal 5 3 7" xfId="1389" xr:uid="{00000000-0005-0000-0000-0000F8050000}"/>
    <cellStyle name="Normal 5 4" xfId="403" xr:uid="{00000000-0005-0000-0000-0000F9050000}"/>
    <cellStyle name="Normal 5 5" xfId="861" xr:uid="{00000000-0005-0000-0000-0000FA050000}"/>
    <cellStyle name="Normal 5 5 2" xfId="1154" xr:uid="{00000000-0005-0000-0000-0000FB050000}"/>
    <cellStyle name="Normal 5 5 2 2" xfId="1618" xr:uid="{00000000-0005-0000-0000-0000FC050000}"/>
    <cellStyle name="Normal 5 5 3" xfId="1317" xr:uid="{00000000-0005-0000-0000-0000FD050000}"/>
    <cellStyle name="Normal 5 5 3 2" xfId="1784" xr:uid="{00000000-0005-0000-0000-0000FE050000}"/>
    <cellStyle name="Normal 5 5 4" xfId="1402" xr:uid="{00000000-0005-0000-0000-0000FF050000}"/>
    <cellStyle name="Normal 5 6" xfId="998" xr:uid="{00000000-0005-0000-0000-000000060000}"/>
    <cellStyle name="Normal 5 6 2" xfId="1155" xr:uid="{00000000-0005-0000-0000-000001060000}"/>
    <cellStyle name="Normal 5 6 2 2" xfId="1619" xr:uid="{00000000-0005-0000-0000-000002060000}"/>
    <cellStyle name="Normal 5 6 3" xfId="1318" xr:uid="{00000000-0005-0000-0000-000003060000}"/>
    <cellStyle name="Normal 5 6 3 2" xfId="1785" xr:uid="{00000000-0005-0000-0000-000004060000}"/>
    <cellStyle name="Normal 5 6 4" xfId="1466" xr:uid="{00000000-0005-0000-0000-000005060000}"/>
    <cellStyle name="Normal 5 7" xfId="1149" xr:uid="{00000000-0005-0000-0000-000006060000}"/>
    <cellStyle name="Normal 5 7 2" xfId="1613" xr:uid="{00000000-0005-0000-0000-000007060000}"/>
    <cellStyle name="Normal 5 8" xfId="1312" xr:uid="{00000000-0005-0000-0000-000008060000}"/>
    <cellStyle name="Normal 5 8 2" xfId="1779" xr:uid="{00000000-0005-0000-0000-000009060000}"/>
    <cellStyle name="Normal 5 9" xfId="1363" xr:uid="{00000000-0005-0000-0000-00000A060000}"/>
    <cellStyle name="Normal 5_piramide redonda" xfId="294" xr:uid="{00000000-0005-0000-0000-00000B060000}"/>
    <cellStyle name="Normal 50" xfId="295" xr:uid="{00000000-0005-0000-0000-00000C060000}"/>
    <cellStyle name="Normal 51" xfId="296" xr:uid="{00000000-0005-0000-0000-00000D060000}"/>
    <cellStyle name="Normal 52" xfId="297" xr:uid="{00000000-0005-0000-0000-00000E060000}"/>
    <cellStyle name="Normal 53" xfId="298" xr:uid="{00000000-0005-0000-0000-00000F060000}"/>
    <cellStyle name="Normal 54" xfId="299" xr:uid="{00000000-0005-0000-0000-000010060000}"/>
    <cellStyle name="Normal 55" xfId="328" xr:uid="{00000000-0005-0000-0000-000011060000}"/>
    <cellStyle name="Normal 56" xfId="1850" xr:uid="{949D0D3E-5B88-4AEA-9663-16A0708518D3}"/>
    <cellStyle name="Normal 6" xfId="300" xr:uid="{00000000-0005-0000-0000-000012060000}"/>
    <cellStyle name="Normal 6 2" xfId="389" xr:uid="{00000000-0005-0000-0000-000013060000}"/>
    <cellStyle name="Normal 6 2 2" xfId="877" xr:uid="{00000000-0005-0000-0000-000014060000}"/>
    <cellStyle name="Normal 6 2 2 2" xfId="1156" xr:uid="{00000000-0005-0000-0000-000015060000}"/>
    <cellStyle name="Normal 6 2 2 2 2" xfId="1620" xr:uid="{00000000-0005-0000-0000-000016060000}"/>
    <cellStyle name="Normal 6 2 2 3" xfId="1319" xr:uid="{00000000-0005-0000-0000-000017060000}"/>
    <cellStyle name="Normal 6 2 2 3 2" xfId="1786" xr:uid="{00000000-0005-0000-0000-000018060000}"/>
    <cellStyle name="Normal 6 2 2 4" xfId="1409" xr:uid="{00000000-0005-0000-0000-000019060000}"/>
    <cellStyle name="Normal 6 2 3" xfId="1822" xr:uid="{00000000-0005-0000-0000-00001A060000}"/>
    <cellStyle name="Normal 6 3" xfId="745" xr:uid="{00000000-0005-0000-0000-00001B060000}"/>
    <cellStyle name="Normal 6 4" xfId="999" xr:uid="{00000000-0005-0000-0000-00001C060000}"/>
    <cellStyle name="Normal 6 5" xfId="368" xr:uid="{00000000-0005-0000-0000-00001D060000}"/>
    <cellStyle name="Normal 7" xfId="301" xr:uid="{00000000-0005-0000-0000-00001E060000}"/>
    <cellStyle name="Normal 7 2" xfId="302" xr:uid="{00000000-0005-0000-0000-00001F060000}"/>
    <cellStyle name="Normal 7 2 2" xfId="875" xr:uid="{00000000-0005-0000-0000-000020060000}"/>
    <cellStyle name="Normal 7 2 2 2" xfId="1158" xr:uid="{00000000-0005-0000-0000-000021060000}"/>
    <cellStyle name="Normal 7 2 2 2 2" xfId="1622" xr:uid="{00000000-0005-0000-0000-000022060000}"/>
    <cellStyle name="Normal 7 2 2 3" xfId="1321" xr:uid="{00000000-0005-0000-0000-000023060000}"/>
    <cellStyle name="Normal 7 2 2 3 2" xfId="1788" xr:uid="{00000000-0005-0000-0000-000024060000}"/>
    <cellStyle name="Normal 7 2 2 4" xfId="1407" xr:uid="{00000000-0005-0000-0000-000025060000}"/>
    <cellStyle name="Normal 7 2 3" xfId="1024" xr:uid="{00000000-0005-0000-0000-000026060000}"/>
    <cellStyle name="Normal 7 2 3 2" xfId="1159" xr:uid="{00000000-0005-0000-0000-000027060000}"/>
    <cellStyle name="Normal 7 2 3 2 2" xfId="1623" xr:uid="{00000000-0005-0000-0000-000028060000}"/>
    <cellStyle name="Normal 7 2 3 3" xfId="1322" xr:uid="{00000000-0005-0000-0000-000029060000}"/>
    <cellStyle name="Normal 7 2 3 3 2" xfId="1789" xr:uid="{00000000-0005-0000-0000-00002A060000}"/>
    <cellStyle name="Normal 7 2 3 4" xfId="1486" xr:uid="{00000000-0005-0000-0000-00002B060000}"/>
    <cellStyle name="Normal 7 2 4" xfId="1157" xr:uid="{00000000-0005-0000-0000-00002C060000}"/>
    <cellStyle name="Normal 7 2 4 2" xfId="1621" xr:uid="{00000000-0005-0000-0000-00002D060000}"/>
    <cellStyle name="Normal 7 2 5" xfId="1186" xr:uid="{00000000-0005-0000-0000-00002E060000}"/>
    <cellStyle name="Normal 7 2 5 2" xfId="1651" xr:uid="{00000000-0005-0000-0000-00002F060000}"/>
    <cellStyle name="Normal 7 2 6" xfId="1320" xr:uid="{00000000-0005-0000-0000-000030060000}"/>
    <cellStyle name="Normal 7 2 6 2" xfId="1787" xr:uid="{00000000-0005-0000-0000-000031060000}"/>
    <cellStyle name="Normal 7 2 7" xfId="1387" xr:uid="{00000000-0005-0000-0000-000032060000}"/>
    <cellStyle name="Normal 7 2 8" xfId="1820" xr:uid="{00000000-0005-0000-0000-000033060000}"/>
    <cellStyle name="Normal 7 2 9" xfId="746" xr:uid="{00000000-0005-0000-0000-000034060000}"/>
    <cellStyle name="Normal 7 3" xfId="404" xr:uid="{00000000-0005-0000-0000-000035060000}"/>
    <cellStyle name="Normal 7 4" xfId="847" xr:uid="{00000000-0005-0000-0000-000036060000}"/>
    <cellStyle name="Normal 7 4 2" xfId="1160" xr:uid="{00000000-0005-0000-0000-000037060000}"/>
    <cellStyle name="Normal 7 4 2 2" xfId="1624" xr:uid="{00000000-0005-0000-0000-000038060000}"/>
    <cellStyle name="Normal 7 4 3" xfId="1323" xr:uid="{00000000-0005-0000-0000-000039060000}"/>
    <cellStyle name="Normal 7 4 3 2" xfId="1790" xr:uid="{00000000-0005-0000-0000-00003A060000}"/>
    <cellStyle name="Normal 7 4 4" xfId="1395" xr:uid="{00000000-0005-0000-0000-00003B060000}"/>
    <cellStyle name="Normal 7 5" xfId="1001" xr:uid="{00000000-0005-0000-0000-00003C060000}"/>
    <cellStyle name="Normal 7 6" xfId="1810" xr:uid="{00000000-0005-0000-0000-00003D060000}"/>
    <cellStyle name="Normal 7 7" xfId="370" xr:uid="{00000000-0005-0000-0000-00003E060000}"/>
    <cellStyle name="Normal 8" xfId="303" xr:uid="{00000000-0005-0000-0000-00003F060000}"/>
    <cellStyle name="Normal 8 2" xfId="304" xr:uid="{00000000-0005-0000-0000-000040060000}"/>
    <cellStyle name="Normal 8 2 2" xfId="879" xr:uid="{00000000-0005-0000-0000-000041060000}"/>
    <cellStyle name="Normal 8 2 2 2" xfId="1161" xr:uid="{00000000-0005-0000-0000-000042060000}"/>
    <cellStyle name="Normal 8 2 2 2 2" xfId="1625" xr:uid="{00000000-0005-0000-0000-000043060000}"/>
    <cellStyle name="Normal 8 2 2 3" xfId="1324" xr:uid="{00000000-0005-0000-0000-000044060000}"/>
    <cellStyle name="Normal 8 2 2 3 2" xfId="1791" xr:uid="{00000000-0005-0000-0000-000045060000}"/>
    <cellStyle name="Normal 8 2 2 4" xfId="1411" xr:uid="{00000000-0005-0000-0000-000046060000}"/>
    <cellStyle name="Normal 8 2 3" xfId="1824" xr:uid="{00000000-0005-0000-0000-000047060000}"/>
    <cellStyle name="Normal 8 2 4" xfId="405" xr:uid="{00000000-0005-0000-0000-000048060000}"/>
    <cellStyle name="Normal 8 3" xfId="867" xr:uid="{00000000-0005-0000-0000-000049060000}"/>
    <cellStyle name="Normal 8 3 2" xfId="1162" xr:uid="{00000000-0005-0000-0000-00004A060000}"/>
    <cellStyle name="Normal 8 3 2 2" xfId="1626" xr:uid="{00000000-0005-0000-0000-00004B060000}"/>
    <cellStyle name="Normal 8 3 3" xfId="1325" xr:uid="{00000000-0005-0000-0000-00004C060000}"/>
    <cellStyle name="Normal 8 3 3 2" xfId="1792" xr:uid="{00000000-0005-0000-0000-00004D060000}"/>
    <cellStyle name="Normal 8 3 4" xfId="1404" xr:uid="{00000000-0005-0000-0000-00004E060000}"/>
    <cellStyle name="Normal 8 4" xfId="1002" xr:uid="{00000000-0005-0000-0000-00004F060000}"/>
    <cellStyle name="Normal 8 5" xfId="1817" xr:uid="{00000000-0005-0000-0000-000050060000}"/>
    <cellStyle name="Normal 8 6" xfId="371" xr:uid="{00000000-0005-0000-0000-000051060000}"/>
    <cellStyle name="Normal 9" xfId="305" xr:uid="{00000000-0005-0000-0000-000052060000}"/>
    <cellStyle name="Normal 9 2" xfId="306" xr:uid="{00000000-0005-0000-0000-000053060000}"/>
    <cellStyle name="Normal 9 2 2" xfId="1025" xr:uid="{00000000-0005-0000-0000-000054060000}"/>
    <cellStyle name="Normal 9 2 2 2" xfId="1164" xr:uid="{00000000-0005-0000-0000-000055060000}"/>
    <cellStyle name="Normal 9 2 2 2 2" xfId="1628" xr:uid="{00000000-0005-0000-0000-000056060000}"/>
    <cellStyle name="Normal 9 2 2 3" xfId="1327" xr:uid="{00000000-0005-0000-0000-000057060000}"/>
    <cellStyle name="Normal 9 2 2 3 2" xfId="1794" xr:uid="{00000000-0005-0000-0000-000058060000}"/>
    <cellStyle name="Normal 9 2 2 4" xfId="1487" xr:uid="{00000000-0005-0000-0000-000059060000}"/>
    <cellStyle name="Normal 9 2 3" xfId="1163" xr:uid="{00000000-0005-0000-0000-00005A060000}"/>
    <cellStyle name="Normal 9 2 3 2" xfId="1627" xr:uid="{00000000-0005-0000-0000-00005B060000}"/>
    <cellStyle name="Normal 9 2 4" xfId="1326" xr:uid="{00000000-0005-0000-0000-00005C060000}"/>
    <cellStyle name="Normal 9 2 4 2" xfId="1793" xr:uid="{00000000-0005-0000-0000-00005D060000}"/>
    <cellStyle name="Normal 9 2 5" xfId="1388" xr:uid="{00000000-0005-0000-0000-00005E060000}"/>
    <cellStyle name="Normal 9 3" xfId="307" xr:uid="{00000000-0005-0000-0000-00005F060000}"/>
    <cellStyle name="Normal 9 3 2" xfId="308" xr:uid="{00000000-0005-0000-0000-000060060000}"/>
    <cellStyle name="Normal 9 3 2 2" xfId="1629" xr:uid="{00000000-0005-0000-0000-000061060000}"/>
    <cellStyle name="Normal 9 3 3" xfId="1328" xr:uid="{00000000-0005-0000-0000-000062060000}"/>
    <cellStyle name="Normal 9 3 3 2" xfId="1795" xr:uid="{00000000-0005-0000-0000-000063060000}"/>
    <cellStyle name="Normal 9 3 4" xfId="1413" xr:uid="{00000000-0005-0000-0000-000064060000}"/>
    <cellStyle name="Normal 9 4" xfId="1003" xr:uid="{00000000-0005-0000-0000-000065060000}"/>
    <cellStyle name="Normal 9 5" xfId="1187" xr:uid="{00000000-0005-0000-0000-000066060000}"/>
    <cellStyle name="Normal 9 5 2" xfId="1652" xr:uid="{00000000-0005-0000-0000-000067060000}"/>
    <cellStyle name="Normal 9 6" xfId="1826" xr:uid="{00000000-0005-0000-0000-000068060000}"/>
    <cellStyle name="Normal 9 7" xfId="372" xr:uid="{00000000-0005-0000-0000-000069060000}"/>
    <cellStyle name="Notas 10" xfId="747" xr:uid="{00000000-0005-0000-0000-00006B060000}"/>
    <cellStyle name="Notas 10 2" xfId="930" xr:uid="{00000000-0005-0000-0000-00006C060000}"/>
    <cellStyle name="Notas 2" xfId="309" xr:uid="{00000000-0005-0000-0000-00006D060000}"/>
    <cellStyle name="Notas 2 2" xfId="748" xr:uid="{00000000-0005-0000-0000-00006E060000}"/>
    <cellStyle name="Notas 2 2 2" xfId="1026" xr:uid="{00000000-0005-0000-0000-00006F060000}"/>
    <cellStyle name="Notas 2 3" xfId="898" xr:uid="{00000000-0005-0000-0000-000070060000}"/>
    <cellStyle name="Notas 2 3 2" xfId="1166" xr:uid="{00000000-0005-0000-0000-000071060000}"/>
    <cellStyle name="Notas 2 3 2 2" xfId="1631" xr:uid="{00000000-0005-0000-0000-000072060000}"/>
    <cellStyle name="Notas 2 3 3" xfId="1330" xr:uid="{00000000-0005-0000-0000-000073060000}"/>
    <cellStyle name="Notas 2 3 3 2" xfId="1797" xr:uid="{00000000-0005-0000-0000-000074060000}"/>
    <cellStyle name="Notas 2 3 4" xfId="1431" xr:uid="{00000000-0005-0000-0000-000075060000}"/>
    <cellStyle name="Notas 2 4" xfId="931" xr:uid="{00000000-0005-0000-0000-000076060000}"/>
    <cellStyle name="Notas 2 5" xfId="973" xr:uid="{00000000-0005-0000-0000-000077060000}"/>
    <cellStyle name="Notas 2 5 2" xfId="1167" xr:uid="{00000000-0005-0000-0000-000078060000}"/>
    <cellStyle name="Notas 2 5 2 2" xfId="1632" xr:uid="{00000000-0005-0000-0000-000079060000}"/>
    <cellStyle name="Notas 2 5 3" xfId="1331" xr:uid="{00000000-0005-0000-0000-00007A060000}"/>
    <cellStyle name="Notas 2 5 3 2" xfId="1798" xr:uid="{00000000-0005-0000-0000-00007B060000}"/>
    <cellStyle name="Notas 2 5 4" xfId="1453" xr:uid="{00000000-0005-0000-0000-00007C060000}"/>
    <cellStyle name="Notas 2 6" xfId="1165" xr:uid="{00000000-0005-0000-0000-00007D060000}"/>
    <cellStyle name="Notas 2 6 2" xfId="1630" xr:uid="{00000000-0005-0000-0000-00007E060000}"/>
    <cellStyle name="Notas 2 7" xfId="1329" xr:uid="{00000000-0005-0000-0000-00007F060000}"/>
    <cellStyle name="Notas 2 7 2" xfId="1796" xr:uid="{00000000-0005-0000-0000-000080060000}"/>
    <cellStyle name="Notas 2 8" xfId="1350" xr:uid="{00000000-0005-0000-0000-000081060000}"/>
    <cellStyle name="Notas 2 9" xfId="1844" xr:uid="{00000000-0005-0000-0000-000082060000}"/>
    <cellStyle name="Notas 3" xfId="310" xr:uid="{00000000-0005-0000-0000-000083060000}"/>
    <cellStyle name="Notas 3 2" xfId="932" xr:uid="{00000000-0005-0000-0000-000084060000}"/>
    <cellStyle name="Notas 3 3" xfId="749" xr:uid="{00000000-0005-0000-0000-000085060000}"/>
    <cellStyle name="Notas 4" xfId="750" xr:uid="{00000000-0005-0000-0000-000086060000}"/>
    <cellStyle name="Notas 4 2" xfId="933" xr:uid="{00000000-0005-0000-0000-000087060000}"/>
    <cellStyle name="Notas 5" xfId="751" xr:uid="{00000000-0005-0000-0000-000088060000}"/>
    <cellStyle name="Notas 5 2" xfId="934" xr:uid="{00000000-0005-0000-0000-000089060000}"/>
    <cellStyle name="Notas 6" xfId="752" xr:uid="{00000000-0005-0000-0000-00008A060000}"/>
    <cellStyle name="Notas 6 2" xfId="935" xr:uid="{00000000-0005-0000-0000-00008B060000}"/>
    <cellStyle name="Notas 7" xfId="753" xr:uid="{00000000-0005-0000-0000-00008C060000}"/>
    <cellStyle name="Notas 7 2" xfId="936" xr:uid="{00000000-0005-0000-0000-00008D060000}"/>
    <cellStyle name="Notas 8" xfId="754" xr:uid="{00000000-0005-0000-0000-00008E060000}"/>
    <cellStyle name="Notas 8 2" xfId="937" xr:uid="{00000000-0005-0000-0000-00008F060000}"/>
    <cellStyle name="Notas 9" xfId="755" xr:uid="{00000000-0005-0000-0000-000090060000}"/>
    <cellStyle name="Notas 9 2" xfId="938" xr:uid="{00000000-0005-0000-0000-000091060000}"/>
    <cellStyle name="Note" xfId="756" builtinId="10" customBuiltin="1"/>
    <cellStyle name="Note 2" xfId="870" xr:uid="{00000000-0005-0000-0000-000093060000}"/>
    <cellStyle name="Note 2 2" xfId="844" xr:uid="{00000000-0005-0000-0000-000094060000}"/>
    <cellStyle name="Note 3" xfId="905" xr:uid="{00000000-0005-0000-0000-000095060000}"/>
    <cellStyle name="Num. cuadro" xfId="311" xr:uid="{00000000-0005-0000-0000-000096060000}"/>
    <cellStyle name="Num. cuadro 2" xfId="312" xr:uid="{00000000-0005-0000-0000-000097060000}"/>
    <cellStyle name="Output" xfId="15" xr:uid="{00000000-0005-0000-0000-000098060000}"/>
    <cellStyle name="Output 2" xfId="869" xr:uid="{00000000-0005-0000-0000-000099060000}"/>
    <cellStyle name="Output 2 2" xfId="843" xr:uid="{00000000-0005-0000-0000-00009A060000}"/>
    <cellStyle name="Output 3" xfId="903" xr:uid="{00000000-0005-0000-0000-00009B060000}"/>
    <cellStyle name="Percent" xfId="10" xr:uid="{00000000-0005-0000-0000-00009C060000}"/>
    <cellStyle name="Percent 2" xfId="757" xr:uid="{00000000-0005-0000-0000-00009D060000}"/>
    <cellStyle name="Pie" xfId="313" xr:uid="{00000000-0005-0000-0000-00009E060000}"/>
    <cellStyle name="Porcentaje 2" xfId="47" xr:uid="{00000000-0005-0000-0000-0000A0060000}"/>
    <cellStyle name="Porcentaje 3" xfId="52" xr:uid="{00000000-0005-0000-0000-0000A1060000}"/>
    <cellStyle name="Porcentaje 3 10" xfId="331" xr:uid="{00000000-0005-0000-0000-0000A2060000}"/>
    <cellStyle name="Porcentaje 3 2" xfId="840" xr:uid="{00000000-0005-0000-0000-0000A3060000}"/>
    <cellStyle name="Porcentaje 3 2 2" xfId="1031" xr:uid="{00000000-0005-0000-0000-0000A4060000}"/>
    <cellStyle name="Porcentaje 3 2 2 2" xfId="1170" xr:uid="{00000000-0005-0000-0000-0000A5060000}"/>
    <cellStyle name="Porcentaje 3 2 2 2 2" xfId="1635" xr:uid="{00000000-0005-0000-0000-0000A6060000}"/>
    <cellStyle name="Porcentaje 3 2 2 3" xfId="1334" xr:uid="{00000000-0005-0000-0000-0000A7060000}"/>
    <cellStyle name="Porcentaje 3 2 2 3 2" xfId="1801" xr:uid="{00000000-0005-0000-0000-0000A8060000}"/>
    <cellStyle name="Porcentaje 3 2 2 4" xfId="1492" xr:uid="{00000000-0005-0000-0000-0000A9060000}"/>
    <cellStyle name="Porcentaje 3 2 3" xfId="1169" xr:uid="{00000000-0005-0000-0000-0000AA060000}"/>
    <cellStyle name="Porcentaje 3 2 3 2" xfId="1634" xr:uid="{00000000-0005-0000-0000-0000AB060000}"/>
    <cellStyle name="Porcentaje 3 2 4" xfId="1333" xr:uid="{00000000-0005-0000-0000-0000AC060000}"/>
    <cellStyle name="Porcentaje 3 2 4 2" xfId="1800" xr:uid="{00000000-0005-0000-0000-0000AD060000}"/>
    <cellStyle name="Porcentaje 3 2 5" xfId="1393" xr:uid="{00000000-0005-0000-0000-0000AE060000}"/>
    <cellStyle name="Porcentaje 3 3" xfId="881" xr:uid="{00000000-0005-0000-0000-0000AF060000}"/>
    <cellStyle name="Porcentaje 3 3 2" xfId="1171" xr:uid="{00000000-0005-0000-0000-0000B0060000}"/>
    <cellStyle name="Porcentaje 3 3 2 2" xfId="1636" xr:uid="{00000000-0005-0000-0000-0000B1060000}"/>
    <cellStyle name="Porcentaje 3 3 3" xfId="1335" xr:uid="{00000000-0005-0000-0000-0000B2060000}"/>
    <cellStyle name="Porcentaje 3 3 3 2" xfId="1802" xr:uid="{00000000-0005-0000-0000-0000B3060000}"/>
    <cellStyle name="Porcentaje 3 3 4" xfId="1414" xr:uid="{00000000-0005-0000-0000-0000B4060000}"/>
    <cellStyle name="Porcentaje 3 4" xfId="962" xr:uid="{00000000-0005-0000-0000-0000B5060000}"/>
    <cellStyle name="Porcentaje 3 4 2" xfId="1172" xr:uid="{00000000-0005-0000-0000-0000B6060000}"/>
    <cellStyle name="Porcentaje 3 4 2 2" xfId="1637" xr:uid="{00000000-0005-0000-0000-0000B7060000}"/>
    <cellStyle name="Porcentaje 3 4 3" xfId="1336" xr:uid="{00000000-0005-0000-0000-0000B8060000}"/>
    <cellStyle name="Porcentaje 3 4 3 2" xfId="1803" xr:uid="{00000000-0005-0000-0000-0000B9060000}"/>
    <cellStyle name="Porcentaje 3 4 4" xfId="1448" xr:uid="{00000000-0005-0000-0000-0000BA060000}"/>
    <cellStyle name="Porcentaje 3 5" xfId="1168" xr:uid="{00000000-0005-0000-0000-0000BB060000}"/>
    <cellStyle name="Porcentaje 3 5 2" xfId="1633" xr:uid="{00000000-0005-0000-0000-0000BC060000}"/>
    <cellStyle name="Porcentaje 3 6" xfId="1192" xr:uid="{00000000-0005-0000-0000-0000BD060000}"/>
    <cellStyle name="Porcentaje 3 6 2" xfId="1657" xr:uid="{00000000-0005-0000-0000-0000BE060000}"/>
    <cellStyle name="Porcentaje 3 7" xfId="1332" xr:uid="{00000000-0005-0000-0000-0000BF060000}"/>
    <cellStyle name="Porcentaje 3 7 2" xfId="1799" xr:uid="{00000000-0005-0000-0000-0000C0060000}"/>
    <cellStyle name="Porcentaje 3 8" xfId="1346" xr:uid="{00000000-0005-0000-0000-0000C1060000}"/>
    <cellStyle name="Porcentaje 3 9" xfId="1827" xr:uid="{00000000-0005-0000-0000-0000C2060000}"/>
    <cellStyle name="Porcentaje 4" xfId="373" xr:uid="{00000000-0005-0000-0000-0000C3060000}"/>
    <cellStyle name="Porcentaje 4 2" xfId="899" xr:uid="{00000000-0005-0000-0000-0000C4060000}"/>
    <cellStyle name="Porcentaje 4 2 2" xfId="1174" xr:uid="{00000000-0005-0000-0000-0000C5060000}"/>
    <cellStyle name="Porcentaje 4 2 2 2" xfId="1639" xr:uid="{00000000-0005-0000-0000-0000C6060000}"/>
    <cellStyle name="Porcentaje 4 2 3" xfId="1338" xr:uid="{00000000-0005-0000-0000-0000C7060000}"/>
    <cellStyle name="Porcentaje 4 2 3 2" xfId="1805" xr:uid="{00000000-0005-0000-0000-0000C8060000}"/>
    <cellStyle name="Porcentaje 4 2 4" xfId="1432" xr:uid="{00000000-0005-0000-0000-0000C9060000}"/>
    <cellStyle name="Porcentaje 4 3" xfId="1173" xr:uid="{00000000-0005-0000-0000-0000CA060000}"/>
    <cellStyle name="Porcentaje 4 3 2" xfId="1638" xr:uid="{00000000-0005-0000-0000-0000CB060000}"/>
    <cellStyle name="Porcentaje 4 4" xfId="1337" xr:uid="{00000000-0005-0000-0000-0000CC060000}"/>
    <cellStyle name="Porcentaje 4 4 2" xfId="1804" xr:uid="{00000000-0005-0000-0000-0000CD060000}"/>
    <cellStyle name="Porcentaje 4 5" xfId="1365" xr:uid="{00000000-0005-0000-0000-0000CE060000}"/>
    <cellStyle name="Porcentaje 4 6" xfId="1845" xr:uid="{00000000-0005-0000-0000-0000CF060000}"/>
    <cellStyle name="Porcentaje 5" xfId="383" xr:uid="{00000000-0005-0000-0000-0000D0060000}"/>
    <cellStyle name="Porcentaje 5 2" xfId="1012" xr:uid="{00000000-0005-0000-0000-0000D1060000}"/>
    <cellStyle name="Porcentaje 5 2 2" xfId="1176" xr:uid="{00000000-0005-0000-0000-0000D2060000}"/>
    <cellStyle name="Porcentaje 5 2 2 2" xfId="1641" xr:uid="{00000000-0005-0000-0000-0000D3060000}"/>
    <cellStyle name="Porcentaje 5 2 3" xfId="1340" xr:uid="{00000000-0005-0000-0000-0000D4060000}"/>
    <cellStyle name="Porcentaje 5 2 3 2" xfId="1807" xr:uid="{00000000-0005-0000-0000-0000D5060000}"/>
    <cellStyle name="Porcentaje 5 2 4" xfId="1474" xr:uid="{00000000-0005-0000-0000-0000D6060000}"/>
    <cellStyle name="Porcentaje 5 3" xfId="1175" xr:uid="{00000000-0005-0000-0000-0000D7060000}"/>
    <cellStyle name="Porcentaje 5 3 2" xfId="1640" xr:uid="{00000000-0005-0000-0000-0000D8060000}"/>
    <cellStyle name="Porcentaje 5 4" xfId="1339" xr:uid="{00000000-0005-0000-0000-0000D9060000}"/>
    <cellStyle name="Porcentaje 5 4 2" xfId="1806" xr:uid="{00000000-0005-0000-0000-0000DA060000}"/>
    <cellStyle name="Porcentaje 5 5" xfId="1372" xr:uid="{00000000-0005-0000-0000-0000DB060000}"/>
    <cellStyle name="Porcentaje 6" xfId="960" xr:uid="{00000000-0005-0000-0000-0000DC060000}"/>
    <cellStyle name="Porcentaje 7" xfId="329" xr:uid="{00000000-0005-0000-0000-0000DD060000}"/>
    <cellStyle name="Porcentual 2" xfId="314" xr:uid="{00000000-0005-0000-0000-0000DE060000}"/>
    <cellStyle name="Porcentual 2 2" xfId="315" xr:uid="{00000000-0005-0000-0000-0000DF060000}"/>
    <cellStyle name="Porcentual 2 2 2" xfId="862" xr:uid="{00000000-0005-0000-0000-0000E0060000}"/>
    <cellStyle name="Porcentual 2 3" xfId="864" xr:uid="{00000000-0005-0000-0000-0000E1060000}"/>
    <cellStyle name="Porcentual 2 4" xfId="758" xr:uid="{00000000-0005-0000-0000-0000E2060000}"/>
    <cellStyle name="Porcentual 3" xfId="316" xr:uid="{00000000-0005-0000-0000-0000E3060000}"/>
    <cellStyle name="Porcentual 3 2" xfId="854" xr:uid="{00000000-0005-0000-0000-0000E4060000}"/>
    <cellStyle name="Porcentual 3 2 2" xfId="1177" xr:uid="{00000000-0005-0000-0000-0000E5060000}"/>
    <cellStyle name="Porcentual 3 2 2 2" xfId="1642" xr:uid="{00000000-0005-0000-0000-0000E6060000}"/>
    <cellStyle name="Porcentual 3 2 3" xfId="1341" xr:uid="{00000000-0005-0000-0000-0000E7060000}"/>
    <cellStyle name="Porcentual 3 2 3 2" xfId="1808" xr:uid="{00000000-0005-0000-0000-0000E8060000}"/>
    <cellStyle name="Porcentual 3 2 4" xfId="1398" xr:uid="{00000000-0005-0000-0000-0000E9060000}"/>
    <cellStyle name="Porcentual 3 3" xfId="1813" xr:uid="{00000000-0005-0000-0000-0000EA060000}"/>
    <cellStyle name="Porcentual 3 4" xfId="759" xr:uid="{00000000-0005-0000-0000-0000EB060000}"/>
    <cellStyle name="Porcentual 4" xfId="317" xr:uid="{00000000-0005-0000-0000-0000EC060000}"/>
    <cellStyle name="Porcentual 4 2" xfId="863" xr:uid="{00000000-0005-0000-0000-0000ED060000}"/>
    <cellStyle name="Porcentual 5" xfId="318" xr:uid="{00000000-0005-0000-0000-0000EE060000}"/>
    <cellStyle name="Porcentual 5 2" xfId="865" xr:uid="{00000000-0005-0000-0000-0000EF060000}"/>
    <cellStyle name="Porcentual 6" xfId="319" xr:uid="{00000000-0005-0000-0000-0000F0060000}"/>
    <cellStyle name="Porcentual 7" xfId="320" xr:uid="{00000000-0005-0000-0000-0000F1060000}"/>
    <cellStyle name="Porcentual 8" xfId="321" xr:uid="{00000000-0005-0000-0000-0000F2060000}"/>
    <cellStyle name="Porcentual 9" xfId="322" xr:uid="{00000000-0005-0000-0000-0000F3060000}"/>
    <cellStyle name="Salida 10" xfId="760" xr:uid="{00000000-0005-0000-0000-0000F5060000}"/>
    <cellStyle name="Salida 10 2" xfId="939" xr:uid="{00000000-0005-0000-0000-0000F6060000}"/>
    <cellStyle name="Salida 2" xfId="761" xr:uid="{00000000-0005-0000-0000-0000F7060000}"/>
    <cellStyle name="Salida 2 2" xfId="940" xr:uid="{00000000-0005-0000-0000-0000F8060000}"/>
    <cellStyle name="Salida 3" xfId="762" xr:uid="{00000000-0005-0000-0000-0000F9060000}"/>
    <cellStyle name="Salida 3 2" xfId="941" xr:uid="{00000000-0005-0000-0000-0000FA060000}"/>
    <cellStyle name="Salida 4" xfId="763" xr:uid="{00000000-0005-0000-0000-0000FB060000}"/>
    <cellStyle name="Salida 4 2" xfId="942" xr:uid="{00000000-0005-0000-0000-0000FC060000}"/>
    <cellStyle name="Salida 5" xfId="764" xr:uid="{00000000-0005-0000-0000-0000FD060000}"/>
    <cellStyle name="Salida 5 2" xfId="943" xr:uid="{00000000-0005-0000-0000-0000FE060000}"/>
    <cellStyle name="Salida 6" xfId="765" xr:uid="{00000000-0005-0000-0000-0000FF060000}"/>
    <cellStyle name="Salida 6 2" xfId="944" xr:uid="{00000000-0005-0000-0000-000000070000}"/>
    <cellStyle name="Salida 7" xfId="766" xr:uid="{00000000-0005-0000-0000-000001070000}"/>
    <cellStyle name="Salida 7 2" xfId="945" xr:uid="{00000000-0005-0000-0000-000002070000}"/>
    <cellStyle name="Salida 8" xfId="767" xr:uid="{00000000-0005-0000-0000-000003070000}"/>
    <cellStyle name="Salida 8 2" xfId="946" xr:uid="{00000000-0005-0000-0000-000004070000}"/>
    <cellStyle name="Salida 9" xfId="768" xr:uid="{00000000-0005-0000-0000-000005070000}"/>
    <cellStyle name="Salida 9 2" xfId="947" xr:uid="{00000000-0005-0000-0000-000006070000}"/>
    <cellStyle name="SERIE01" xfId="323" xr:uid="{00000000-0005-0000-0000-000007070000}"/>
    <cellStyle name="serie1" xfId="324" xr:uid="{00000000-0005-0000-0000-000008070000}"/>
    <cellStyle name="Texto de advertencia 10" xfId="769" xr:uid="{00000000-0005-0000-0000-00000A070000}"/>
    <cellStyle name="Texto de advertencia 2" xfId="339" xr:uid="{00000000-0005-0000-0000-00000B070000}"/>
    <cellStyle name="Texto de advertencia 2 2" xfId="770" xr:uid="{00000000-0005-0000-0000-00000C070000}"/>
    <cellStyle name="Texto de advertencia 2 3" xfId="972" xr:uid="{00000000-0005-0000-0000-00000D070000}"/>
    <cellStyle name="Texto de advertencia 3" xfId="771" xr:uid="{00000000-0005-0000-0000-00000E070000}"/>
    <cellStyle name="Texto de advertencia 4" xfId="772" xr:uid="{00000000-0005-0000-0000-00000F070000}"/>
    <cellStyle name="Texto de advertencia 5" xfId="773" xr:uid="{00000000-0005-0000-0000-000010070000}"/>
    <cellStyle name="Texto de advertencia 6" xfId="774" xr:uid="{00000000-0005-0000-0000-000011070000}"/>
    <cellStyle name="Texto de advertencia 7" xfId="775" xr:uid="{00000000-0005-0000-0000-000012070000}"/>
    <cellStyle name="Texto de advertencia 8" xfId="776" xr:uid="{00000000-0005-0000-0000-000013070000}"/>
    <cellStyle name="Texto de advertencia 9" xfId="777" xr:uid="{00000000-0005-0000-0000-000014070000}"/>
    <cellStyle name="Texto explicativo 10" xfId="778" xr:uid="{00000000-0005-0000-0000-000016070000}"/>
    <cellStyle name="Texto explicativo 2" xfId="340" xr:uid="{00000000-0005-0000-0000-000017070000}"/>
    <cellStyle name="Texto explicativo 2 2" xfId="779" xr:uid="{00000000-0005-0000-0000-000018070000}"/>
    <cellStyle name="Texto explicativo 2 3" xfId="974" xr:uid="{00000000-0005-0000-0000-000019070000}"/>
    <cellStyle name="Texto explicativo 3" xfId="780" xr:uid="{00000000-0005-0000-0000-00001A070000}"/>
    <cellStyle name="Texto explicativo 4" xfId="781" xr:uid="{00000000-0005-0000-0000-00001B070000}"/>
    <cellStyle name="Texto explicativo 5" xfId="782" xr:uid="{00000000-0005-0000-0000-00001C070000}"/>
    <cellStyle name="Texto explicativo 6" xfId="783" xr:uid="{00000000-0005-0000-0000-00001D070000}"/>
    <cellStyle name="Texto explicativo 7" xfId="784" xr:uid="{00000000-0005-0000-0000-00001E070000}"/>
    <cellStyle name="Texto explicativo 8" xfId="785" xr:uid="{00000000-0005-0000-0000-00001F070000}"/>
    <cellStyle name="Texto explicativo 9" xfId="786" xr:uid="{00000000-0005-0000-0000-000020070000}"/>
    <cellStyle name="Title" xfId="787" xr:uid="{00000000-0005-0000-0000-000021070000}"/>
    <cellStyle name="Titulo" xfId="325" xr:uid="{00000000-0005-0000-0000-000022070000}"/>
    <cellStyle name="Título 1 10" xfId="788" xr:uid="{00000000-0005-0000-0000-000023070000}"/>
    <cellStyle name="Título 1 2" xfId="789" xr:uid="{00000000-0005-0000-0000-000024070000}"/>
    <cellStyle name="Título 1 3" xfId="790" xr:uid="{00000000-0005-0000-0000-000025070000}"/>
    <cellStyle name="Título 1 4" xfId="791" xr:uid="{00000000-0005-0000-0000-000026070000}"/>
    <cellStyle name="Título 1 5" xfId="792" xr:uid="{00000000-0005-0000-0000-000027070000}"/>
    <cellStyle name="Título 1 6" xfId="793" xr:uid="{00000000-0005-0000-0000-000028070000}"/>
    <cellStyle name="Título 1 7" xfId="794" xr:uid="{00000000-0005-0000-0000-000029070000}"/>
    <cellStyle name="Título 1 8" xfId="795" xr:uid="{00000000-0005-0000-0000-00002A070000}"/>
    <cellStyle name="Título 1 9" xfId="796" xr:uid="{00000000-0005-0000-0000-00002B070000}"/>
    <cellStyle name="Título 10" xfId="797" xr:uid="{00000000-0005-0000-0000-00002C070000}"/>
    <cellStyle name="Título 11" xfId="798" xr:uid="{00000000-0005-0000-0000-00002D070000}"/>
    <cellStyle name="Título 12" xfId="799" xr:uid="{00000000-0005-0000-0000-00002E070000}"/>
    <cellStyle name="Título 13" xfId="885" xr:uid="{00000000-0005-0000-0000-00002F070000}"/>
    <cellStyle name="Titulo 2" xfId="326" xr:uid="{00000000-0005-0000-0000-000030070000}"/>
    <cellStyle name="Título 2 10" xfId="800" xr:uid="{00000000-0005-0000-0000-000032070000}"/>
    <cellStyle name="Título 2 2" xfId="801" xr:uid="{00000000-0005-0000-0000-000033070000}"/>
    <cellStyle name="Título 2 3" xfId="802" xr:uid="{00000000-0005-0000-0000-000034070000}"/>
    <cellStyle name="Título 2 4" xfId="803" xr:uid="{00000000-0005-0000-0000-000035070000}"/>
    <cellStyle name="Título 2 5" xfId="804" xr:uid="{00000000-0005-0000-0000-000036070000}"/>
    <cellStyle name="Título 2 6" xfId="805" xr:uid="{00000000-0005-0000-0000-000037070000}"/>
    <cellStyle name="Título 2 7" xfId="806" xr:uid="{00000000-0005-0000-0000-000038070000}"/>
    <cellStyle name="Título 2 8" xfId="807" xr:uid="{00000000-0005-0000-0000-000039070000}"/>
    <cellStyle name="Título 2 9" xfId="808" xr:uid="{00000000-0005-0000-0000-00003A070000}"/>
    <cellStyle name="Título 3 10" xfId="809" xr:uid="{00000000-0005-0000-0000-00003C070000}"/>
    <cellStyle name="Título 3 2" xfId="810" xr:uid="{00000000-0005-0000-0000-00003D070000}"/>
    <cellStyle name="Título 3 3" xfId="811" xr:uid="{00000000-0005-0000-0000-00003E070000}"/>
    <cellStyle name="Título 3 4" xfId="812" xr:uid="{00000000-0005-0000-0000-00003F070000}"/>
    <cellStyle name="Título 3 5" xfId="813" xr:uid="{00000000-0005-0000-0000-000040070000}"/>
    <cellStyle name="Título 3 6" xfId="814" xr:uid="{00000000-0005-0000-0000-000041070000}"/>
    <cellStyle name="Título 3 7" xfId="815" xr:uid="{00000000-0005-0000-0000-000042070000}"/>
    <cellStyle name="Título 3 8" xfId="816" xr:uid="{00000000-0005-0000-0000-000043070000}"/>
    <cellStyle name="Título 3 9" xfId="817" xr:uid="{00000000-0005-0000-0000-000044070000}"/>
    <cellStyle name="Título 4" xfId="334" xr:uid="{00000000-0005-0000-0000-000045070000}"/>
    <cellStyle name="Título 4 2" xfId="818" xr:uid="{00000000-0005-0000-0000-000046070000}"/>
    <cellStyle name="Título 4 3" xfId="967" xr:uid="{00000000-0005-0000-0000-000047070000}"/>
    <cellStyle name="Título 5" xfId="819" xr:uid="{00000000-0005-0000-0000-000048070000}"/>
    <cellStyle name="Título 6" xfId="820" xr:uid="{00000000-0005-0000-0000-000049070000}"/>
    <cellStyle name="Título 7" xfId="821" xr:uid="{00000000-0005-0000-0000-00004A070000}"/>
    <cellStyle name="Título 8" xfId="822" xr:uid="{00000000-0005-0000-0000-00004B070000}"/>
    <cellStyle name="Título 9" xfId="823" xr:uid="{00000000-0005-0000-0000-00004C070000}"/>
    <cellStyle name="Total" xfId="18" builtinId="25" customBuiltin="1"/>
    <cellStyle name="Total 10" xfId="824" xr:uid="{00000000-0005-0000-0000-00004E070000}"/>
    <cellStyle name="Total 10 2" xfId="948" xr:uid="{00000000-0005-0000-0000-00004F070000}"/>
    <cellStyle name="Total 2" xfId="825" xr:uid="{00000000-0005-0000-0000-000050070000}"/>
    <cellStyle name="Total 2 2" xfId="949" xr:uid="{00000000-0005-0000-0000-000051070000}"/>
    <cellStyle name="Total 3" xfId="826" xr:uid="{00000000-0005-0000-0000-000052070000}"/>
    <cellStyle name="Total 3 2" xfId="950" xr:uid="{00000000-0005-0000-0000-000053070000}"/>
    <cellStyle name="Total 4" xfId="827" xr:uid="{00000000-0005-0000-0000-000054070000}"/>
    <cellStyle name="Total 4 2" xfId="951" xr:uid="{00000000-0005-0000-0000-000055070000}"/>
    <cellStyle name="Total 5" xfId="828" xr:uid="{00000000-0005-0000-0000-000056070000}"/>
    <cellStyle name="Total 5 2" xfId="952" xr:uid="{00000000-0005-0000-0000-000057070000}"/>
    <cellStyle name="Total 6" xfId="829" xr:uid="{00000000-0005-0000-0000-000058070000}"/>
    <cellStyle name="Total 6 2" xfId="953" xr:uid="{00000000-0005-0000-0000-000059070000}"/>
    <cellStyle name="Total 7" xfId="830" xr:uid="{00000000-0005-0000-0000-00005A070000}"/>
    <cellStyle name="Total 7 2" xfId="954" xr:uid="{00000000-0005-0000-0000-00005B070000}"/>
    <cellStyle name="Total 8" xfId="831" xr:uid="{00000000-0005-0000-0000-00005C070000}"/>
    <cellStyle name="Total 8 2" xfId="955" xr:uid="{00000000-0005-0000-0000-00005D070000}"/>
    <cellStyle name="Total 9" xfId="832" xr:uid="{00000000-0005-0000-0000-00005E070000}"/>
    <cellStyle name="Total 9 2" xfId="956" xr:uid="{00000000-0005-0000-0000-00005F070000}"/>
    <cellStyle name="Warning Text" xfId="833" builtinId="11" customBuiltin="1"/>
  </cellStyles>
  <dxfs count="0"/>
  <tableStyles count="0" defaultTableStyle="TableStyleMedium2" defaultPivotStyle="PivotStyleLight16"/>
  <colors>
    <mruColors>
      <color rgb="FFFFFF99"/>
      <color rgb="FFFF99CC"/>
      <color rgb="FF009999"/>
      <color rgb="FFFF6600"/>
      <color rgb="FFCC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7B670AB-161D-4944-9F74-406B4B44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19D60C3-6BE0-4CC5-9E8D-F3724C5F9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BCD19DC1-07FE-40F3-A77D-F971DC7D4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10958FB-5525-4B89-9708-CC8D34F58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3F33F05-BAD0-4C2B-8520-D7F584280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FED7973F-9953-4B85-9D6D-B9E62004B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B60-7636-4AD6-AAE3-263D713EC5BB}">
  <dimension ref="A1:AG200"/>
  <sheetViews>
    <sheetView zoomScale="110" zoomScaleNormal="110" workbookViewId="0">
      <pane xSplit="1" topLeftCell="V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6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69"/>
      <c r="B3" s="5">
        <v>2014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70"/>
      <c r="B4" s="171" t="s">
        <v>3</v>
      </c>
      <c r="C4" s="171" t="s">
        <v>4</v>
      </c>
      <c r="D4" s="171" t="s">
        <v>5</v>
      </c>
      <c r="E4" s="165" t="s">
        <v>6</v>
      </c>
      <c r="F4" s="166"/>
      <c r="G4" s="166"/>
      <c r="H4" s="166"/>
      <c r="I4" s="166"/>
      <c r="J4" s="166"/>
      <c r="K4" s="166"/>
      <c r="L4" s="166"/>
      <c r="M4" s="166"/>
      <c r="N4" s="166"/>
      <c r="O4" s="166"/>
      <c r="P4" s="166"/>
      <c r="Q4" s="166"/>
      <c r="R4" s="166"/>
      <c r="S4" s="166"/>
      <c r="T4" s="167"/>
      <c r="U4" s="165" t="s">
        <v>7</v>
      </c>
      <c r="V4" s="166"/>
      <c r="W4" s="166"/>
      <c r="X4" s="166"/>
      <c r="Y4" s="166"/>
      <c r="Z4" s="167"/>
      <c r="AA4" s="173" t="s">
        <v>8</v>
      </c>
      <c r="AB4" s="171" t="s">
        <v>9</v>
      </c>
      <c r="AC4" s="175" t="s">
        <v>10</v>
      </c>
      <c r="AD4" s="91"/>
      <c r="AE4" s="175" t="s">
        <v>11</v>
      </c>
      <c r="AF4" s="91"/>
      <c r="AG4" s="177" t="s">
        <v>12</v>
      </c>
    </row>
    <row r="5" spans="1:33" ht="27.6" customHeight="1" thickBot="1" x14ac:dyDescent="0.45">
      <c r="A5" s="170"/>
      <c r="B5" s="172"/>
      <c r="C5" s="172"/>
      <c r="D5" s="17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74"/>
      <c r="AB5" s="172"/>
      <c r="AC5" s="176"/>
      <c r="AD5" s="91"/>
      <c r="AE5" s="176"/>
      <c r="AF5" s="91"/>
      <c r="AG5" s="178"/>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76"/>
      <c r="AD6" s="92"/>
      <c r="AE6" s="176"/>
      <c r="AF6" s="92"/>
      <c r="AG6" s="179"/>
    </row>
    <row r="7" spans="1:33" ht="27.6" customHeight="1" thickBot="1" x14ac:dyDescent="0.45">
      <c r="A7" s="133" t="s">
        <v>36</v>
      </c>
      <c r="B7" s="134">
        <f>(B10+B68+B121+B175)+(B156+B159+B162+B165+B168)</f>
        <v>503222626.28798121</v>
      </c>
      <c r="C7" s="134">
        <f>C10+C68+C121+C150+C175</f>
        <v>160748207.65073806</v>
      </c>
      <c r="D7" s="134">
        <f>D10+D68+D121+D150+D175</f>
        <v>38940883.906137988</v>
      </c>
      <c r="E7" s="134">
        <f>E68</f>
        <v>2788160.2120000003</v>
      </c>
      <c r="F7" s="134">
        <f t="shared" ref="F7:AB7" si="0">F68</f>
        <v>465280.96299999999</v>
      </c>
      <c r="G7" s="134">
        <f t="shared" si="0"/>
        <v>27214.062000000002</v>
      </c>
      <c r="H7" s="134">
        <f t="shared" si="0"/>
        <v>8669.93</v>
      </c>
      <c r="I7" s="134">
        <f t="shared" si="0"/>
        <v>4386.2759999999998</v>
      </c>
      <c r="J7" s="134">
        <f t="shared" si="0"/>
        <v>5702656.2870000005</v>
      </c>
      <c r="K7" s="134">
        <f t="shared" si="0"/>
        <v>6637771.017</v>
      </c>
      <c r="L7" s="134">
        <f t="shared" si="0"/>
        <v>136488.98699999999</v>
      </c>
      <c r="M7" s="134">
        <f t="shared" si="0"/>
        <v>464025.04100000003</v>
      </c>
      <c r="N7" s="134">
        <f t="shared" si="0"/>
        <v>315089.946</v>
      </c>
      <c r="O7" s="134">
        <f t="shared" si="0"/>
        <v>12144.904</v>
      </c>
      <c r="P7" s="134">
        <f t="shared" si="0"/>
        <v>35115.953000000001</v>
      </c>
      <c r="Q7" s="134">
        <f t="shared" si="0"/>
        <v>248.779</v>
      </c>
      <c r="R7" s="134">
        <f t="shared" si="0"/>
        <v>262.42599999999999</v>
      </c>
      <c r="S7" s="134">
        <f t="shared" si="0"/>
        <v>1143939.412</v>
      </c>
      <c r="T7" s="134">
        <f t="shared" si="0"/>
        <v>1.2198186000000002</v>
      </c>
      <c r="U7" s="134">
        <f t="shared" si="0"/>
        <v>19252.432585913848</v>
      </c>
      <c r="V7" s="134">
        <f t="shared" si="0"/>
        <v>1990.1871310344829</v>
      </c>
      <c r="W7" s="134">
        <f t="shared" si="0"/>
        <v>160.36020000000002</v>
      </c>
      <c r="X7" s="134">
        <f t="shared" si="0"/>
        <v>1.8018000000000001E-3</v>
      </c>
      <c r="Y7" s="134">
        <f t="shared" si="0"/>
        <v>57.40022118164061</v>
      </c>
      <c r="Z7" s="134">
        <f t="shared" si="0"/>
        <v>1.2012000000000001E-3</v>
      </c>
      <c r="AA7" s="134">
        <f t="shared" si="0"/>
        <v>1674.6435661942987</v>
      </c>
      <c r="AB7" s="134">
        <f t="shared" si="0"/>
        <v>185862.4687486178</v>
      </c>
      <c r="AC7" s="139">
        <f>SUM(B7:AB7)</f>
        <v>720862170.75513184</v>
      </c>
      <c r="AE7" s="139">
        <f>AC7/1000</f>
        <v>720862.17075513187</v>
      </c>
      <c r="AF7" s="130"/>
      <c r="AG7" s="180">
        <f>AG10+AG68+AG121+AG150+AG175</f>
        <v>73478.59501617949</v>
      </c>
    </row>
    <row r="8" spans="1:33" ht="27.6" customHeight="1" thickBot="1" x14ac:dyDescent="0.45">
      <c r="A8" s="131" t="s">
        <v>37</v>
      </c>
      <c r="B8" s="132">
        <f>(B10+B68+B121+B175)</f>
        <v>481887821.86558121</v>
      </c>
      <c r="C8" s="132">
        <f t="shared" ref="C8:AB8" si="1">(C10+C68+C121+C175)</f>
        <v>160569990.89423805</v>
      </c>
      <c r="D8" s="132">
        <f t="shared" si="1"/>
        <v>38845281.714037985</v>
      </c>
      <c r="E8" s="132">
        <f t="shared" si="1"/>
        <v>2788160.2120000003</v>
      </c>
      <c r="F8" s="132">
        <f t="shared" si="1"/>
        <v>465280.96299999999</v>
      </c>
      <c r="G8" s="132">
        <f t="shared" si="1"/>
        <v>27214.062000000002</v>
      </c>
      <c r="H8" s="132">
        <f t="shared" si="1"/>
        <v>8669.93</v>
      </c>
      <c r="I8" s="132">
        <f t="shared" si="1"/>
        <v>4386.2759999999998</v>
      </c>
      <c r="J8" s="132">
        <f t="shared" si="1"/>
        <v>5702656.2870000005</v>
      </c>
      <c r="K8" s="132">
        <f t="shared" si="1"/>
        <v>6637771.017</v>
      </c>
      <c r="L8" s="132">
        <f t="shared" si="1"/>
        <v>136488.98699999999</v>
      </c>
      <c r="M8" s="132">
        <f t="shared" si="1"/>
        <v>464025.04100000003</v>
      </c>
      <c r="N8" s="132">
        <f t="shared" si="1"/>
        <v>315089.946</v>
      </c>
      <c r="O8" s="132">
        <f t="shared" si="1"/>
        <v>12144.904</v>
      </c>
      <c r="P8" s="132">
        <f t="shared" si="1"/>
        <v>35115.953000000001</v>
      </c>
      <c r="Q8" s="132">
        <f t="shared" si="1"/>
        <v>248.779</v>
      </c>
      <c r="R8" s="132">
        <f t="shared" si="1"/>
        <v>262.42599999999999</v>
      </c>
      <c r="S8" s="132">
        <f t="shared" si="1"/>
        <v>1143939.412</v>
      </c>
      <c r="T8" s="132">
        <f t="shared" si="1"/>
        <v>1.2198186000000002</v>
      </c>
      <c r="U8" s="132">
        <f t="shared" si="1"/>
        <v>19252.432585913848</v>
      </c>
      <c r="V8" s="132">
        <f t="shared" si="1"/>
        <v>1990.1871310344829</v>
      </c>
      <c r="W8" s="132">
        <f t="shared" si="1"/>
        <v>160.36020000000002</v>
      </c>
      <c r="X8" s="132">
        <f t="shared" si="1"/>
        <v>1.8018000000000001E-3</v>
      </c>
      <c r="Y8" s="132">
        <f t="shared" si="1"/>
        <v>57.40022118164061</v>
      </c>
      <c r="Z8" s="132">
        <f t="shared" si="1"/>
        <v>1.2012000000000001E-3</v>
      </c>
      <c r="AA8" s="132">
        <f t="shared" si="1"/>
        <v>1674.6435661942987</v>
      </c>
      <c r="AB8" s="132">
        <f t="shared" si="1"/>
        <v>185862.4687486178</v>
      </c>
      <c r="AC8" s="135">
        <f>SUM(B8:AB8)</f>
        <v>699253547.38413203</v>
      </c>
      <c r="AE8" s="135">
        <f>AC8/1000</f>
        <v>699253.54738413205</v>
      </c>
      <c r="AF8" s="130"/>
      <c r="AG8" s="181"/>
    </row>
    <row r="9" spans="1:33" ht="27.6" customHeight="1" thickBot="1" x14ac:dyDescent="0.45">
      <c r="A9" s="136" t="s">
        <v>38</v>
      </c>
      <c r="B9" s="137">
        <f>B10+B68+B121+B150+B175</f>
        <v>297816870.16758126</v>
      </c>
      <c r="C9" s="137">
        <f>C10+C68+C121+C150+C175</f>
        <v>160748207.65073806</v>
      </c>
      <c r="D9" s="137">
        <f t="shared" ref="D9" si="2">D10+D68+D121+D150+D175</f>
        <v>38940883.906137988</v>
      </c>
      <c r="E9" s="137">
        <f t="shared" ref="E9:AB9" si="3">E10+E68+E121+E175</f>
        <v>2788160.2120000003</v>
      </c>
      <c r="F9" s="137">
        <f t="shared" si="3"/>
        <v>465280.96299999999</v>
      </c>
      <c r="G9" s="137">
        <f t="shared" si="3"/>
        <v>27214.062000000002</v>
      </c>
      <c r="H9" s="137">
        <f t="shared" si="3"/>
        <v>8669.93</v>
      </c>
      <c r="I9" s="137">
        <f t="shared" si="3"/>
        <v>4386.2759999999998</v>
      </c>
      <c r="J9" s="137">
        <f t="shared" si="3"/>
        <v>5702656.2870000005</v>
      </c>
      <c r="K9" s="137">
        <f t="shared" si="3"/>
        <v>6637771.017</v>
      </c>
      <c r="L9" s="137">
        <f t="shared" si="3"/>
        <v>136488.98699999999</v>
      </c>
      <c r="M9" s="137">
        <f t="shared" si="3"/>
        <v>464025.04100000003</v>
      </c>
      <c r="N9" s="137">
        <f t="shared" si="3"/>
        <v>315089.946</v>
      </c>
      <c r="O9" s="137">
        <f t="shared" si="3"/>
        <v>12144.904</v>
      </c>
      <c r="P9" s="137">
        <f t="shared" si="3"/>
        <v>35115.953000000001</v>
      </c>
      <c r="Q9" s="137">
        <f t="shared" si="3"/>
        <v>248.779</v>
      </c>
      <c r="R9" s="137">
        <f t="shared" si="3"/>
        <v>262.42599999999999</v>
      </c>
      <c r="S9" s="137">
        <f t="shared" si="3"/>
        <v>1143939.412</v>
      </c>
      <c r="T9" s="137">
        <f t="shared" si="3"/>
        <v>1.2198186000000002</v>
      </c>
      <c r="U9" s="137">
        <f t="shared" si="3"/>
        <v>19252.432585913848</v>
      </c>
      <c r="V9" s="137">
        <f t="shared" si="3"/>
        <v>1990.1871310344829</v>
      </c>
      <c r="W9" s="137">
        <f t="shared" si="3"/>
        <v>160.36020000000002</v>
      </c>
      <c r="X9" s="137">
        <f t="shared" si="3"/>
        <v>1.8018000000000001E-3</v>
      </c>
      <c r="Y9" s="137">
        <f t="shared" si="3"/>
        <v>57.40022118164061</v>
      </c>
      <c r="Z9" s="137">
        <f t="shared" si="3"/>
        <v>1.2012000000000001E-3</v>
      </c>
      <c r="AA9" s="137">
        <f t="shared" si="3"/>
        <v>1674.6435661942987</v>
      </c>
      <c r="AB9" s="137">
        <f t="shared" si="3"/>
        <v>185862.4687486178</v>
      </c>
      <c r="AC9" s="138">
        <f>SUM(B9:AB9)</f>
        <v>515456414.63473183</v>
      </c>
      <c r="AE9" s="138">
        <f t="shared" ref="AE9:AE72" si="4">AC9/1000</f>
        <v>515456.41463473183</v>
      </c>
      <c r="AF9" s="129"/>
      <c r="AG9" s="182"/>
    </row>
    <row r="10" spans="1:33" ht="22.2" customHeight="1" x14ac:dyDescent="0.4">
      <c r="A10" s="32" t="s">
        <v>39</v>
      </c>
      <c r="B10" s="33">
        <f>B11+B53</f>
        <v>429319286.63339376</v>
      </c>
      <c r="C10" s="33">
        <f>C11+C53</f>
        <v>28156618.179795302</v>
      </c>
      <c r="D10" s="33">
        <f>D11+D53</f>
        <v>3006446.0987962461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460482350.91198522</v>
      </c>
      <c r="AD10" s="41"/>
      <c r="AE10" s="57">
        <f t="shared" si="4"/>
        <v>460482.35091198521</v>
      </c>
      <c r="AF10" s="128"/>
      <c r="AG10" s="36">
        <f>AG11+AG53</f>
        <v>66679.013215179497</v>
      </c>
    </row>
    <row r="11" spans="1:33" ht="22.2" customHeight="1" x14ac:dyDescent="0.4">
      <c r="A11" s="20" t="s">
        <v>40</v>
      </c>
      <c r="B11" s="37">
        <f>B12+B18+B43+B49</f>
        <v>411734972.17339379</v>
      </c>
      <c r="C11" s="37">
        <f>C12+C18+C43+C49</f>
        <v>1060932.0197953046</v>
      </c>
      <c r="D11" s="37">
        <f>D12+D18+D43+D49</f>
        <v>2983758.2587962463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415779662.45198524</v>
      </c>
      <c r="AD11" s="41"/>
      <c r="AE11" s="37">
        <f t="shared" si="4"/>
        <v>415779.66245198523</v>
      </c>
      <c r="AF11" s="128"/>
      <c r="AG11" s="37">
        <f>AG12+AG18+AG43+AG49</f>
        <v>62082.361482922322</v>
      </c>
    </row>
    <row r="12" spans="1:33" ht="22.2" customHeight="1" x14ac:dyDescent="0.4">
      <c r="A12" s="20" t="s">
        <v>41</v>
      </c>
      <c r="B12" s="37">
        <f>B13+B14+B15</f>
        <v>158105878.42807671</v>
      </c>
      <c r="C12" s="37">
        <f>C13+C14+C15</f>
        <v>141904.26988783988</v>
      </c>
      <c r="D12" s="37">
        <f>D13+D14+D15</f>
        <v>287216.41156721499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158534999.1095317</v>
      </c>
      <c r="AD12" s="41"/>
      <c r="AE12" s="37">
        <f t="shared" si="4"/>
        <v>158534.99910953169</v>
      </c>
      <c r="AF12" s="128"/>
      <c r="AG12" s="37">
        <f>SUM(AG13:AG15)</f>
        <v>8290.8583890958071</v>
      </c>
    </row>
    <row r="13" spans="1:33" ht="22.2" customHeight="1" x14ac:dyDescent="0.4">
      <c r="A13" s="21" t="s">
        <v>42</v>
      </c>
      <c r="B13" s="44">
        <v>143414329.12458399</v>
      </c>
      <c r="C13" s="44">
        <v>132553.05447383001</v>
      </c>
      <c r="D13" s="44">
        <v>287216.41156721499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143834098.59062502</v>
      </c>
      <c r="AD13" s="41"/>
      <c r="AE13" s="52">
        <f t="shared" si="4"/>
        <v>143834.09859062501</v>
      </c>
      <c r="AF13" s="128"/>
      <c r="AG13" s="44">
        <v>6786.7716760425601</v>
      </c>
    </row>
    <row r="14" spans="1:33" ht="22.2" customHeight="1" x14ac:dyDescent="0.4">
      <c r="A14" s="21" t="s">
        <v>43</v>
      </c>
      <c r="B14" s="44">
        <v>13454585.737492699</v>
      </c>
      <c r="C14" s="44">
        <v>9345.0304140098797</v>
      </c>
      <c r="D14" s="44"/>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13463930.767906709</v>
      </c>
      <c r="AD14" s="41"/>
      <c r="AE14" s="52">
        <f t="shared" si="4"/>
        <v>13463.930767906708</v>
      </c>
      <c r="AF14" s="128"/>
      <c r="AG14" s="44">
        <v>1198.8058134022101</v>
      </c>
    </row>
    <row r="15" spans="1:33" ht="22.2" customHeight="1" x14ac:dyDescent="0.4">
      <c r="A15" s="21" t="s">
        <v>44</v>
      </c>
      <c r="B15" s="49">
        <f>B16+B17</f>
        <v>1236963.5660000001</v>
      </c>
      <c r="C15" s="49">
        <f t="shared" ref="C15:D15" si="5">C16+C17</f>
        <v>6.1849999999999996</v>
      </c>
      <c r="D15" s="49">
        <f t="shared" si="5"/>
        <v>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1236969.7510000002</v>
      </c>
      <c r="AD15" s="41"/>
      <c r="AE15" s="52">
        <f t="shared" si="4"/>
        <v>1236.9697510000001</v>
      </c>
      <c r="AF15" s="128"/>
      <c r="AG15" s="44">
        <v>305.28089965103698</v>
      </c>
    </row>
    <row r="16" spans="1:33" ht="22.2" customHeight="1" x14ac:dyDescent="0.4">
      <c r="A16" s="98" t="s">
        <v>45</v>
      </c>
      <c r="B16" s="44">
        <v>1236963.5660000001</v>
      </c>
      <c r="C16" s="44">
        <v>6.1849999999999996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1236969.7510000002</v>
      </c>
      <c r="AD16" s="41"/>
      <c r="AE16" s="52">
        <f t="shared" si="4"/>
        <v>1236.9697510000001</v>
      </c>
      <c r="AF16" s="128"/>
      <c r="AG16" s="73"/>
    </row>
    <row r="17" spans="1:33" ht="22.2" customHeight="1" x14ac:dyDescent="0.4">
      <c r="A17" s="99" t="s">
        <v>46</v>
      </c>
      <c r="B17" s="44"/>
      <c r="C17" s="44"/>
      <c r="D17" s="44"/>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0</v>
      </c>
      <c r="AD17" s="41"/>
      <c r="AE17" s="52">
        <f t="shared" si="4"/>
        <v>0</v>
      </c>
      <c r="AF17" s="128"/>
      <c r="AG17" s="44">
        <v>305.28089965103698</v>
      </c>
    </row>
    <row r="18" spans="1:33" ht="22.2" customHeight="1" x14ac:dyDescent="0.4">
      <c r="A18" s="20" t="s">
        <v>47</v>
      </c>
      <c r="B18" s="37">
        <f>B19+B20+B21+B25+B26+B33+B35+B37+B39</f>
        <v>58531961.246317029</v>
      </c>
      <c r="C18" s="37">
        <f>C19+C20+C21+C25+C26+C33+C35+C37+C39</f>
        <v>100642.82200746486</v>
      </c>
      <c r="D18" s="37">
        <f>D19+D20+D21+D25+D26+D33+D35+D37+D39</f>
        <v>133470.03682903119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58766074.105153531</v>
      </c>
      <c r="AD18" s="110"/>
      <c r="AE18" s="37">
        <f t="shared" si="4"/>
        <v>58766.07410515353</v>
      </c>
      <c r="AF18" s="128"/>
      <c r="AG18" s="37">
        <f>SUM(AG19,AG20,AG21,AG25,AG26,AG32,AG33,AG34,AG35,AG36,AG37,AG38,AG39)</f>
        <v>790.60422115651147</v>
      </c>
    </row>
    <row r="19" spans="1:33" ht="22.2" customHeight="1" x14ac:dyDescent="0.4">
      <c r="A19" s="100" t="s">
        <v>48</v>
      </c>
      <c r="B19" s="44">
        <v>2783906.6894798144</v>
      </c>
      <c r="C19" s="44">
        <v>1454.7304084818495</v>
      </c>
      <c r="D19" s="44">
        <v>1557.8683197965422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2786919.2882080926</v>
      </c>
      <c r="AD19" s="110"/>
      <c r="AE19" s="44">
        <f t="shared" si="4"/>
        <v>2786.9192882080924</v>
      </c>
      <c r="AF19" s="128"/>
      <c r="AG19" s="44">
        <v>15.217071373791809</v>
      </c>
    </row>
    <row r="20" spans="1:33" ht="22.2" customHeight="1" x14ac:dyDescent="0.4">
      <c r="A20" s="100" t="s">
        <v>49</v>
      </c>
      <c r="B20" s="44">
        <v>1336085.5194697299</v>
      </c>
      <c r="C20" s="44">
        <v>876.35329947496871</v>
      </c>
      <c r="D20" s="44">
        <v>1262.029135358853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1338223.9019045637</v>
      </c>
      <c r="AD20" s="110"/>
      <c r="AE20" s="52">
        <f t="shared" si="4"/>
        <v>1338.2239019045637</v>
      </c>
      <c r="AF20" s="128"/>
      <c r="AG20" s="44">
        <v>12.72947062346417</v>
      </c>
    </row>
    <row r="21" spans="1:33" ht="22.2" customHeight="1" x14ac:dyDescent="0.4">
      <c r="A21" s="100" t="s">
        <v>50</v>
      </c>
      <c r="B21" s="44">
        <f>SUM(B22:B24)</f>
        <v>5080169.9252633546</v>
      </c>
      <c r="C21" s="44">
        <f>SUM(C22:C24)</f>
        <v>2756.4722696046506</v>
      </c>
      <c r="D21" s="44">
        <f>SUM(D22:D24)</f>
        <v>3102.848504140688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5086029.2460371004</v>
      </c>
      <c r="AD21" s="110"/>
      <c r="AE21" s="52">
        <f t="shared" si="4"/>
        <v>5086.0292460371002</v>
      </c>
      <c r="AF21" s="128"/>
      <c r="AG21" s="44">
        <v>22.215992578657389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5040518.1295892848</v>
      </c>
      <c r="C23" s="44">
        <v>2730.1050896046504</v>
      </c>
      <c r="D23" s="44">
        <v>3066.2273061406881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5046314.4619850302</v>
      </c>
      <c r="AD23" s="110"/>
      <c r="AE23" s="52">
        <f t="shared" si="4"/>
        <v>5046.31446198503</v>
      </c>
      <c r="AF23" s="128"/>
      <c r="AG23" s="44">
        <v>22.087800487895397</v>
      </c>
    </row>
    <row r="24" spans="1:33" ht="22.2" customHeight="1" x14ac:dyDescent="0.4">
      <c r="A24" s="99" t="s">
        <v>53</v>
      </c>
      <c r="B24" s="44">
        <v>39651.795674070003</v>
      </c>
      <c r="C24" s="44">
        <v>26.367180000000001</v>
      </c>
      <c r="D24" s="44">
        <v>36.621197999999993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39714.784052070005</v>
      </c>
      <c r="AD24" s="110"/>
      <c r="AE24" s="52">
        <f t="shared" si="4"/>
        <v>39.714784052070002</v>
      </c>
      <c r="AF24" s="128"/>
      <c r="AG24" s="44">
        <v>0.12819209076199287</v>
      </c>
    </row>
    <row r="25" spans="1:33" ht="22.2" customHeight="1" x14ac:dyDescent="0.4">
      <c r="A25" s="100" t="s">
        <v>54</v>
      </c>
      <c r="B25" s="44">
        <v>1997306.1111971708</v>
      </c>
      <c r="C25" s="44">
        <v>1080.0902148848013</v>
      </c>
      <c r="D25" s="44">
        <v>1212.7739551564314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1999598.975367212</v>
      </c>
      <c r="AD25" s="110"/>
      <c r="AE25" s="52">
        <f t="shared" si="4"/>
        <v>1999.598975367212</v>
      </c>
      <c r="AF25" s="128"/>
      <c r="AG25" s="44">
        <v>9.978413393489058</v>
      </c>
    </row>
    <row r="26" spans="1:33" ht="22.2" customHeight="1" x14ac:dyDescent="0.4">
      <c r="A26" s="100" t="s">
        <v>55</v>
      </c>
      <c r="B26" s="44">
        <f>SUM(B27:B31)</f>
        <v>576286.90285893285</v>
      </c>
      <c r="C26" s="44">
        <f>SUM(C27:C31)</f>
        <v>34471.432497733535</v>
      </c>
      <c r="D26" s="44">
        <f>SUM(D27:D31)</f>
        <v>43765.908670543547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654524.24402720993</v>
      </c>
      <c r="AD26" s="110"/>
      <c r="AE26" s="52">
        <f t="shared" si="4"/>
        <v>654.52424402720999</v>
      </c>
      <c r="AF26" s="128"/>
      <c r="AG26" s="44">
        <v>449.75493346271281</v>
      </c>
    </row>
    <row r="27" spans="1:33" ht="22.2" customHeight="1" x14ac:dyDescent="0.4">
      <c r="A27" s="99" t="s">
        <v>56</v>
      </c>
      <c r="B27" s="44">
        <v>0</v>
      </c>
      <c r="C27" s="44">
        <v>33936.165478290597</v>
      </c>
      <c r="D27" s="44">
        <v>42824.208817842897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76760.374296133494</v>
      </c>
      <c r="AD27" s="110"/>
      <c r="AE27" s="52">
        <f t="shared" si="4"/>
        <v>76.760374296133492</v>
      </c>
      <c r="AF27" s="128"/>
      <c r="AG27" s="44">
        <v>440.76614924779813</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472620.72571546328</v>
      </c>
      <c r="C29" s="44">
        <v>425.59376471303989</v>
      </c>
      <c r="D29" s="44">
        <v>734.1040491047728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473780.42352928111</v>
      </c>
      <c r="AD29" s="110"/>
      <c r="AE29" s="52">
        <f t="shared" si="4"/>
        <v>473.78042352928111</v>
      </c>
      <c r="AF29" s="128"/>
      <c r="AG29" s="44">
        <v>3.3669751361427487</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103666.17714346954</v>
      </c>
      <c r="C31" s="44">
        <v>109.67325472989567</v>
      </c>
      <c r="D31" s="44">
        <v>207.59580359587392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103983.4462017953</v>
      </c>
      <c r="AD31" s="110"/>
      <c r="AE31" s="52">
        <f t="shared" si="4"/>
        <v>103.9834462017953</v>
      </c>
      <c r="AF31" s="128"/>
      <c r="AG31" s="44">
        <v>5.621809078771923</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432237.74686183495</v>
      </c>
      <c r="C33" s="44">
        <v>252.6853478378211</v>
      </c>
      <c r="D33" s="44">
        <v>313.20448873493012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432803.6366984077</v>
      </c>
      <c r="AD33" s="110"/>
      <c r="AE33" s="52">
        <f t="shared" si="4"/>
        <v>432.80363669840773</v>
      </c>
      <c r="AF33" s="128"/>
      <c r="AG33" s="44">
        <v>1.2907531046119625</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7846485.5689806668</v>
      </c>
      <c r="C35" s="44">
        <v>9347.9172019711241</v>
      </c>
      <c r="D35" s="44">
        <v>15446.464050212242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7871279.9502328495</v>
      </c>
      <c r="AD35" s="110"/>
      <c r="AE35" s="52">
        <f t="shared" si="4"/>
        <v>7871.2799502328498</v>
      </c>
      <c r="AF35" s="128"/>
      <c r="AG35" s="44">
        <v>45.258792010228682</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298929.14796506573</v>
      </c>
      <c r="C37" s="44">
        <v>344.67787271247124</v>
      </c>
      <c r="D37" s="44">
        <v>652.42597334860625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299926.25181112683</v>
      </c>
      <c r="AD37" s="110"/>
      <c r="AE37" s="52">
        <f t="shared" si="4"/>
        <v>299.9262518111268</v>
      </c>
      <c r="AF37" s="128"/>
      <c r="AG37" s="44">
        <v>1.3246122499217461</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38180553.634240463</v>
      </c>
      <c r="C39" s="44">
        <f>SUM(C40:C42)</f>
        <v>50058.46289476363</v>
      </c>
      <c r="D39" s="44">
        <f>SUM(D40:D42)</f>
        <v>66156.513731739324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38296768.610866964</v>
      </c>
      <c r="AD39" s="110"/>
      <c r="AE39" s="52">
        <f t="shared" si="4"/>
        <v>38296.768610866966</v>
      </c>
      <c r="AF39" s="128"/>
      <c r="AG39" s="44">
        <v>232.83418235963379</v>
      </c>
    </row>
    <row r="40" spans="1:33" ht="22.2" customHeight="1" x14ac:dyDescent="0.4">
      <c r="A40" s="99" t="s">
        <v>69</v>
      </c>
      <c r="B40" s="44">
        <v>3204851.8457794497</v>
      </c>
      <c r="C40" s="44">
        <v>1630.6595479999999</v>
      </c>
      <c r="D40" s="44">
        <v>1677.869972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3208160.3752994495</v>
      </c>
      <c r="AD40" s="110"/>
      <c r="AE40" s="52">
        <f t="shared" si="4"/>
        <v>3208.1603752994497</v>
      </c>
      <c r="AF40" s="128"/>
      <c r="AG40" s="44">
        <v>15.283304022854328</v>
      </c>
    </row>
    <row r="41" spans="1:33" ht="22.2" customHeight="1" x14ac:dyDescent="0.4">
      <c r="A41" s="99" t="s">
        <v>70</v>
      </c>
      <c r="B41" s="44">
        <v>521175.926641258</v>
      </c>
      <c r="C41" s="44">
        <v>374.57443552940532</v>
      </c>
      <c r="D41" s="44">
        <v>556.17073962292807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522106.67181641032</v>
      </c>
      <c r="AD41" s="110"/>
      <c r="AE41" s="52">
        <f t="shared" si="4"/>
        <v>522.10667181641031</v>
      </c>
      <c r="AF41" s="128"/>
      <c r="AG41" s="44">
        <v>3.6390499527793754</v>
      </c>
    </row>
    <row r="42" spans="1:33" ht="22.2" customHeight="1" x14ac:dyDescent="0.4">
      <c r="A42" s="99" t="s">
        <v>71</v>
      </c>
      <c r="B42" s="44">
        <v>34454525.861819759</v>
      </c>
      <c r="C42" s="44">
        <v>48053.228911234226</v>
      </c>
      <c r="D42" s="44">
        <v>63922.473020116398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34566501.563751109</v>
      </c>
      <c r="AD42" s="110"/>
      <c r="AE42" s="52">
        <f t="shared" si="4"/>
        <v>34566.50156375111</v>
      </c>
      <c r="AF42" s="128"/>
      <c r="AG42" s="44">
        <v>213.91182838400007</v>
      </c>
    </row>
    <row r="43" spans="1:33" ht="22.2" customHeight="1" x14ac:dyDescent="0.4">
      <c r="A43" s="20" t="s">
        <v>72</v>
      </c>
      <c r="B43" s="37">
        <f>SUM(B44:B48)</f>
        <v>161197239.68900001</v>
      </c>
      <c r="C43" s="37">
        <f>SUM(C44:C48)</f>
        <v>451802.83789999998</v>
      </c>
      <c r="D43" s="37">
        <f>SUM(D44:D48)</f>
        <v>2182894.7904000003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163831937.31729999</v>
      </c>
      <c r="AD43" s="41"/>
      <c r="AE43" s="37">
        <f t="shared" si="4"/>
        <v>163831.93731730001</v>
      </c>
      <c r="AF43" s="128"/>
      <c r="AG43" s="37">
        <f>SUM(AG44:AG48)</f>
        <v>14340.668872669999</v>
      </c>
    </row>
    <row r="44" spans="1:33" ht="22.2" customHeight="1" x14ac:dyDescent="0.4">
      <c r="A44" s="100" t="s">
        <v>73</v>
      </c>
      <c r="B44" s="44">
        <v>5442838.5310000004</v>
      </c>
      <c r="C44" s="44">
        <v>1049.3805</v>
      </c>
      <c r="D44" s="44">
        <v>39726.548999999999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5483614.4605</v>
      </c>
      <c r="AD44" s="41"/>
      <c r="AE44" s="52">
        <f t="shared" si="4"/>
        <v>5483.6144605</v>
      </c>
      <c r="AF44" s="128"/>
      <c r="AG44" s="44">
        <v>76.998972670000001</v>
      </c>
    </row>
    <row r="45" spans="1:33" ht="22.2" customHeight="1" x14ac:dyDescent="0.4">
      <c r="A45" s="100" t="s">
        <v>74</v>
      </c>
      <c r="B45" s="44">
        <v>151655270.40000001</v>
      </c>
      <c r="C45" s="44">
        <v>441852.36249999999</v>
      </c>
      <c r="D45" s="44">
        <v>1926304.6189999999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154023427.38150001</v>
      </c>
      <c r="AD45" s="41"/>
      <c r="AE45" s="52">
        <f t="shared" si="4"/>
        <v>154023.42738150002</v>
      </c>
      <c r="AF45" s="128"/>
      <c r="AG45" s="44">
        <v>14155.3</v>
      </c>
    </row>
    <row r="46" spans="1:33" ht="22.2" customHeight="1" x14ac:dyDescent="0.4">
      <c r="A46" s="100" t="s">
        <v>75</v>
      </c>
      <c r="B46" s="44">
        <v>1933328.34</v>
      </c>
      <c r="C46" s="44">
        <v>3083.74</v>
      </c>
      <c r="D46" s="44">
        <v>201133.02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2137545.1</v>
      </c>
      <c r="AD46" s="41"/>
      <c r="AE46" s="52">
        <f t="shared" si="4"/>
        <v>2137.5451000000003</v>
      </c>
      <c r="AF46" s="128"/>
      <c r="AG46" s="44">
        <v>45.59</v>
      </c>
    </row>
    <row r="47" spans="1:33" ht="22.2" customHeight="1" x14ac:dyDescent="0.4">
      <c r="A47" s="100" t="s">
        <v>76</v>
      </c>
      <c r="B47" s="44">
        <v>2165802.4180000001</v>
      </c>
      <c r="C47" s="44">
        <v>5817.3549000000003</v>
      </c>
      <c r="D47" s="44">
        <v>15730.6024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2187350.3753000004</v>
      </c>
      <c r="AD47" s="41"/>
      <c r="AE47" s="52">
        <f t="shared" si="4"/>
        <v>2187.3503753000005</v>
      </c>
      <c r="AF47" s="128"/>
      <c r="AG47" s="44">
        <v>62.779899999999998</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33899892.810000002</v>
      </c>
      <c r="C49" s="37">
        <f>SUM(C50:C52)</f>
        <v>366582.08999999997</v>
      </c>
      <c r="D49" s="37">
        <f>SUM(D50:D52)</f>
        <v>380177.02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34646651.920000002</v>
      </c>
      <c r="AD49" s="41"/>
      <c r="AE49" s="37">
        <f t="shared" si="4"/>
        <v>34646.651920000004</v>
      </c>
      <c r="AF49" s="128"/>
      <c r="AG49" s="37">
        <f>SUM(AG50:AG52)</f>
        <v>38660.230000000003</v>
      </c>
    </row>
    <row r="50" spans="1:33" ht="22.2" customHeight="1" x14ac:dyDescent="0.4">
      <c r="A50" s="100" t="s">
        <v>79</v>
      </c>
      <c r="B50" s="44">
        <v>5324332.42</v>
      </c>
      <c r="C50" s="44">
        <v>12225.7</v>
      </c>
      <c r="D50" s="44">
        <v>2792.83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5339350.95</v>
      </c>
      <c r="AD50" s="41"/>
      <c r="AE50" s="52">
        <f t="shared" si="4"/>
        <v>5339.35095</v>
      </c>
      <c r="AF50" s="128"/>
      <c r="AG50" s="44">
        <v>2430.12</v>
      </c>
    </row>
    <row r="51" spans="1:33" ht="22.2" customHeight="1" x14ac:dyDescent="0.4">
      <c r="A51" s="100" t="s">
        <v>80</v>
      </c>
      <c r="B51" s="44">
        <v>19520812.010000002</v>
      </c>
      <c r="C51" s="44">
        <v>320237.96999999997</v>
      </c>
      <c r="D51" s="44">
        <v>358338.58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20199388.559999999</v>
      </c>
      <c r="AD51" s="41"/>
      <c r="AE51" s="52">
        <f t="shared" si="4"/>
        <v>20199.388559999999</v>
      </c>
      <c r="AF51" s="128"/>
      <c r="AG51" s="44">
        <v>35936.629999999997</v>
      </c>
    </row>
    <row r="52" spans="1:33" ht="22.2" customHeight="1" x14ac:dyDescent="0.4">
      <c r="A52" s="100" t="s">
        <v>81</v>
      </c>
      <c r="B52" s="44">
        <v>9054748.3800000008</v>
      </c>
      <c r="C52" s="44">
        <v>34118.42</v>
      </c>
      <c r="D52" s="44">
        <v>19045.61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9107912.4100000001</v>
      </c>
      <c r="AD52" s="41"/>
      <c r="AE52" s="52">
        <f t="shared" si="4"/>
        <v>9107.9124100000008</v>
      </c>
      <c r="AF52" s="128"/>
      <c r="AG52" s="44">
        <v>293.48</v>
      </c>
    </row>
    <row r="53" spans="1:33" ht="22.2" customHeight="1" x14ac:dyDescent="0.4">
      <c r="A53" s="13" t="s">
        <v>82</v>
      </c>
      <c r="B53" s="37">
        <f>B54+B59</f>
        <v>17584314.460000001</v>
      </c>
      <c r="C53" s="37">
        <f>C54+C59</f>
        <v>27095686.159999996</v>
      </c>
      <c r="D53" s="37">
        <f>D54+D59</f>
        <v>22687.84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44702688.459999993</v>
      </c>
      <c r="AD53" s="41"/>
      <c r="AE53" s="37">
        <f t="shared" si="4"/>
        <v>44702.68845999999</v>
      </c>
      <c r="AF53" s="128"/>
      <c r="AG53" s="37">
        <f>AG54+AG59</f>
        <v>4596.6517322571799</v>
      </c>
    </row>
    <row r="54" spans="1:33" ht="22.2" customHeight="1" x14ac:dyDescent="0.4">
      <c r="A54" s="20" t="s">
        <v>83</v>
      </c>
      <c r="B54" s="37">
        <f>B55+B58</f>
        <v>123948.83</v>
      </c>
      <c r="C54" s="37">
        <f>C55+C58</f>
        <v>4359646.1899999995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4483595.0199999996</v>
      </c>
      <c r="AD54" s="41"/>
      <c r="AE54" s="37">
        <f t="shared" si="4"/>
        <v>4483.5950199999997</v>
      </c>
      <c r="AF54" s="128"/>
      <c r="AG54" s="76"/>
    </row>
    <row r="55" spans="1:33" ht="22.2" customHeight="1" x14ac:dyDescent="0.4">
      <c r="A55" s="101" t="s">
        <v>84</v>
      </c>
      <c r="B55" s="52">
        <f>B56+B57</f>
        <v>123948.83</v>
      </c>
      <c r="C55" s="52">
        <f>C56+C57</f>
        <v>4359646.1899999995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4483595.0199999996</v>
      </c>
      <c r="AD55" s="41"/>
      <c r="AE55" s="44">
        <f t="shared" si="4"/>
        <v>4483.5950199999997</v>
      </c>
      <c r="AF55" s="128"/>
      <c r="AG55" s="73"/>
    </row>
    <row r="56" spans="1:33" ht="22.2" customHeight="1" x14ac:dyDescent="0.4">
      <c r="A56" s="100" t="s">
        <v>85</v>
      </c>
      <c r="B56" s="44">
        <v>118043.24</v>
      </c>
      <c r="C56" s="44">
        <v>4181749.09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4299792.33</v>
      </c>
      <c r="AD56" s="41"/>
      <c r="AE56" s="52">
        <f t="shared" si="4"/>
        <v>4299.7923300000002</v>
      </c>
      <c r="AF56" s="128"/>
      <c r="AG56" s="73"/>
    </row>
    <row r="57" spans="1:33" ht="22.2" customHeight="1" x14ac:dyDescent="0.4">
      <c r="A57" s="100" t="s">
        <v>86</v>
      </c>
      <c r="B57" s="44">
        <v>5905.59</v>
      </c>
      <c r="C57" s="44">
        <v>177897.1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183802.69</v>
      </c>
      <c r="AD57" s="41"/>
      <c r="AE57" s="52">
        <f t="shared" si="4"/>
        <v>183.80269000000001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17460365.630000003</v>
      </c>
      <c r="C59" s="37">
        <f t="shared" ref="C59:D59" si="8">C60+C64</f>
        <v>22736039.969999999</v>
      </c>
      <c r="D59" s="37">
        <f t="shared" si="8"/>
        <v>22687.84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40219093.439999998</v>
      </c>
      <c r="AD59" s="41"/>
      <c r="AE59" s="37">
        <f t="shared" si="4"/>
        <v>40219.093439999997</v>
      </c>
      <c r="AF59" s="128"/>
      <c r="AG59" s="53">
        <f>SUM(AG60:AG66)</f>
        <v>4596.6517322571799</v>
      </c>
    </row>
    <row r="60" spans="1:33" ht="22.2" customHeight="1" x14ac:dyDescent="0.4">
      <c r="A60" s="100" t="s">
        <v>89</v>
      </c>
      <c r="B60" s="49">
        <f>SUM(B61,B62,B63)</f>
        <v>14925221.100000001</v>
      </c>
      <c r="C60" s="49">
        <f t="shared" ref="C60:D60" si="9">SUM(C61,C62,C63)</f>
        <v>15640918.360000001</v>
      </c>
      <c r="D60" s="49">
        <f t="shared" si="9"/>
        <v>22601.360000000001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30588740.82</v>
      </c>
      <c r="AD60" s="41"/>
      <c r="AE60" s="52">
        <f t="shared" si="4"/>
        <v>30588.740819999999</v>
      </c>
      <c r="AF60" s="128"/>
      <c r="AG60" s="111"/>
    </row>
    <row r="61" spans="1:33" ht="22.2" customHeight="1" x14ac:dyDescent="0.4">
      <c r="A61" s="102" t="s">
        <v>90</v>
      </c>
      <c r="B61" s="44">
        <v>5569205.6699999999</v>
      </c>
      <c r="C61" s="44">
        <v>5512714.2000000002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11081919.870000001</v>
      </c>
      <c r="AD61" s="41"/>
      <c r="AE61" s="52">
        <f t="shared" si="4"/>
        <v>11081.919870000002</v>
      </c>
      <c r="AF61" s="128"/>
      <c r="AG61" s="109"/>
    </row>
    <row r="62" spans="1:33" ht="22.2" customHeight="1" x14ac:dyDescent="0.4">
      <c r="A62" s="102" t="s">
        <v>91</v>
      </c>
      <c r="B62" s="44">
        <v>9313052.4600000009</v>
      </c>
      <c r="C62" s="44">
        <v>9990560.9000000004</v>
      </c>
      <c r="D62" s="44">
        <v>22601.360000000001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19326214.719999999</v>
      </c>
      <c r="AD62" s="41"/>
      <c r="AE62" s="52">
        <f t="shared" si="4"/>
        <v>19326.21472</v>
      </c>
      <c r="AF62" s="128"/>
      <c r="AG62" s="44">
        <v>4596.6517322571799</v>
      </c>
    </row>
    <row r="63" spans="1:33" ht="22.2" customHeight="1" x14ac:dyDescent="0.4">
      <c r="A63" s="102" t="s">
        <v>92</v>
      </c>
      <c r="B63" s="44">
        <v>42962.97</v>
      </c>
      <c r="C63" s="44">
        <v>137643.26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180606.23</v>
      </c>
      <c r="AD63" s="41"/>
      <c r="AE63" s="52">
        <f t="shared" si="4"/>
        <v>180.60623000000001</v>
      </c>
      <c r="AF63" s="128"/>
      <c r="AG63" s="109"/>
    </row>
    <row r="64" spans="1:33" ht="22.2" customHeight="1" x14ac:dyDescent="0.4">
      <c r="A64" s="103" t="s">
        <v>93</v>
      </c>
      <c r="B64" s="49">
        <f>SUM(B65,B66,B67)</f>
        <v>2535144.5299999998</v>
      </c>
      <c r="C64" s="49">
        <f t="shared" ref="C64:D64" si="11">SUM(C65,C66,C67)</f>
        <v>7095121.6099999994</v>
      </c>
      <c r="D64" s="49">
        <f t="shared" si="11"/>
        <v>86.48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9630352.6199999992</v>
      </c>
      <c r="AD64" s="41"/>
      <c r="AE64" s="52">
        <f t="shared" si="4"/>
        <v>9630.3526199999997</v>
      </c>
      <c r="AF64" s="128"/>
      <c r="AG64" s="109"/>
    </row>
    <row r="65" spans="1:33" ht="22.2" customHeight="1" x14ac:dyDescent="0.4">
      <c r="A65" s="102" t="s">
        <v>94</v>
      </c>
      <c r="B65" s="44">
        <v>2186607.34</v>
      </c>
      <c r="C65" s="44">
        <v>3014731.06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5201338.4000000004</v>
      </c>
      <c r="AD65" s="41"/>
      <c r="AE65" s="52">
        <f t="shared" si="4"/>
        <v>5201.3384000000005</v>
      </c>
      <c r="AF65" s="128"/>
      <c r="AG65" s="112"/>
    </row>
    <row r="66" spans="1:33" ht="22.2" customHeight="1" x14ac:dyDescent="0.4">
      <c r="A66" s="102" t="s">
        <v>95</v>
      </c>
      <c r="B66" s="44">
        <v>343264.32</v>
      </c>
      <c r="C66" s="44">
        <v>223703.23</v>
      </c>
      <c r="D66" s="44">
        <v>86.48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567054.03</v>
      </c>
      <c r="AD66" s="41"/>
      <c r="AE66" s="52">
        <f t="shared" si="4"/>
        <v>567.05403000000001</v>
      </c>
      <c r="AF66" s="128"/>
      <c r="AG66" s="112"/>
    </row>
    <row r="67" spans="1:33" ht="22.2" customHeight="1" thickBot="1" x14ac:dyDescent="0.45">
      <c r="A67" s="102" t="s">
        <v>96</v>
      </c>
      <c r="B67" s="44">
        <v>5272.87</v>
      </c>
      <c r="C67" s="44">
        <v>3856687.32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3861960.19</v>
      </c>
      <c r="AD67" s="41"/>
      <c r="AE67" s="116">
        <f t="shared" si="4"/>
        <v>3861.9601899999998</v>
      </c>
      <c r="AF67" s="128"/>
      <c r="AG67" s="112"/>
    </row>
    <row r="68" spans="1:33" ht="22.2" customHeight="1" x14ac:dyDescent="0.4">
      <c r="A68" s="12" t="s">
        <v>97</v>
      </c>
      <c r="B68" s="33">
        <f>B69+B75+B86+B94+B99+B105+B112+B117</f>
        <v>49959918.519187421</v>
      </c>
      <c r="C68" s="33">
        <f t="shared" ref="C68:AC68" si="12">C69+C75+C86+C94+C99+C105+C112+C117</f>
        <v>198352.90694750554</v>
      </c>
      <c r="D68" s="33">
        <f t="shared" si="12"/>
        <v>692883.38502774411</v>
      </c>
      <c r="E68" s="34">
        <f t="shared" si="12"/>
        <v>2788160.2120000003</v>
      </c>
      <c r="F68" s="34">
        <f t="shared" si="12"/>
        <v>465280.96299999999</v>
      </c>
      <c r="G68" s="34">
        <f t="shared" si="12"/>
        <v>27214.062000000002</v>
      </c>
      <c r="H68" s="34">
        <f t="shared" si="12"/>
        <v>8669.93</v>
      </c>
      <c r="I68" s="34">
        <f t="shared" si="12"/>
        <v>4386.2759999999998</v>
      </c>
      <c r="J68" s="34">
        <f t="shared" si="12"/>
        <v>5702656.2870000005</v>
      </c>
      <c r="K68" s="34">
        <f t="shared" si="12"/>
        <v>6637771.017</v>
      </c>
      <c r="L68" s="34">
        <f t="shared" si="12"/>
        <v>136488.98699999999</v>
      </c>
      <c r="M68" s="34">
        <f t="shared" si="12"/>
        <v>464025.04100000003</v>
      </c>
      <c r="N68" s="34">
        <f t="shared" si="12"/>
        <v>315089.946</v>
      </c>
      <c r="O68" s="34">
        <f t="shared" si="12"/>
        <v>12144.904</v>
      </c>
      <c r="P68" s="34">
        <f t="shared" si="12"/>
        <v>35115.953000000001</v>
      </c>
      <c r="Q68" s="34">
        <f t="shared" si="12"/>
        <v>248.779</v>
      </c>
      <c r="R68" s="34">
        <f t="shared" si="12"/>
        <v>262.42599999999999</v>
      </c>
      <c r="S68" s="34">
        <f t="shared" si="12"/>
        <v>1143939.412</v>
      </c>
      <c r="T68" s="34">
        <f t="shared" si="12"/>
        <v>1.2198186000000002</v>
      </c>
      <c r="U68" s="34">
        <f t="shared" si="12"/>
        <v>19252.432585913848</v>
      </c>
      <c r="V68" s="34">
        <f t="shared" si="12"/>
        <v>1990.1871310344829</v>
      </c>
      <c r="W68" s="34">
        <f t="shared" si="12"/>
        <v>160.36020000000002</v>
      </c>
      <c r="X68" s="34">
        <f t="shared" si="12"/>
        <v>1.8018000000000001E-3</v>
      </c>
      <c r="Y68" s="34">
        <f t="shared" si="12"/>
        <v>57.40022118164061</v>
      </c>
      <c r="Z68" s="34">
        <f t="shared" si="12"/>
        <v>1.2012000000000001E-3</v>
      </c>
      <c r="AA68" s="34">
        <f t="shared" si="12"/>
        <v>1674.6435661942987</v>
      </c>
      <c r="AB68" s="120">
        <f t="shared" si="12"/>
        <v>185862.4687486178</v>
      </c>
      <c r="AC68" s="57">
        <f t="shared" si="12"/>
        <v>68801607.721437216</v>
      </c>
      <c r="AD68" s="93"/>
      <c r="AE68" s="57">
        <f t="shared" si="4"/>
        <v>68801.60772143722</v>
      </c>
      <c r="AF68" s="128"/>
      <c r="AG68" s="57"/>
    </row>
    <row r="69" spans="1:33" ht="22.2" customHeight="1" x14ac:dyDescent="0.4">
      <c r="A69" s="20" t="s">
        <v>98</v>
      </c>
      <c r="B69" s="53">
        <f>SUM(B70:B74)</f>
        <v>26913661.851019777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26913661.851019777</v>
      </c>
      <c r="AD69" s="41"/>
      <c r="AE69" s="37">
        <f t="shared" si="4"/>
        <v>26913.661851019777</v>
      </c>
      <c r="AF69" s="128"/>
      <c r="AG69" s="76"/>
    </row>
    <row r="70" spans="1:33" ht="22.2" customHeight="1" x14ac:dyDescent="0.4">
      <c r="A70" s="100" t="s">
        <v>99</v>
      </c>
      <c r="B70" s="44">
        <v>18190160.964992002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18190160.964992002</v>
      </c>
      <c r="AD70" s="41"/>
      <c r="AE70" s="52">
        <f t="shared" si="4"/>
        <v>18190.160964992003</v>
      </c>
      <c r="AF70" s="128"/>
      <c r="AG70" s="111"/>
    </row>
    <row r="71" spans="1:33" ht="22.2" customHeight="1" x14ac:dyDescent="0.4">
      <c r="A71" s="100" t="s">
        <v>100</v>
      </c>
      <c r="B71" s="44">
        <v>3103815.7185759041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3103815.7185759041</v>
      </c>
      <c r="AD71" s="41"/>
      <c r="AE71" s="52">
        <f t="shared" si="4"/>
        <v>3103.8157185759042</v>
      </c>
      <c r="AF71" s="128"/>
      <c r="AG71" s="111"/>
    </row>
    <row r="72" spans="1:33" ht="22.2" customHeight="1" x14ac:dyDescent="0.4">
      <c r="A72" s="100" t="s">
        <v>101</v>
      </c>
      <c r="B72" s="44">
        <v>577276.11611280811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577276.11611280811</v>
      </c>
      <c r="AD72" s="41"/>
      <c r="AE72" s="52">
        <f t="shared" si="4"/>
        <v>577.27611611280815</v>
      </c>
      <c r="AF72" s="128"/>
      <c r="AG72" s="111"/>
    </row>
    <row r="73" spans="1:33" ht="22.2" customHeight="1" x14ac:dyDescent="0.4">
      <c r="A73" s="100" t="s">
        <v>102</v>
      </c>
      <c r="B73" s="44">
        <v>5042409.0513390629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5042409.0513390629</v>
      </c>
      <c r="AD73" s="41"/>
      <c r="AE73" s="52">
        <f t="shared" ref="AE73:AE136" si="13">AC73/1000</f>
        <v>5042.4090513390629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2880117.2628269885</v>
      </c>
      <c r="C75" s="37">
        <f>SUM(C76:C85)</f>
        <v>194831.38694750555</v>
      </c>
      <c r="D75" s="37">
        <f>SUM(D76:D85)</f>
        <v>692673.83279999997</v>
      </c>
      <c r="E75" s="60">
        <f>SUM(E76:E85)</f>
        <v>2787787.8400000003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6555410.3225744944</v>
      </c>
      <c r="AD75" s="41"/>
      <c r="AE75" s="37">
        <f t="shared" si="13"/>
        <v>6555.4103225744948</v>
      </c>
      <c r="AF75" s="128"/>
      <c r="AG75" s="76"/>
    </row>
    <row r="76" spans="1:33" ht="22.2" customHeight="1" x14ac:dyDescent="0.4">
      <c r="A76" s="100" t="s">
        <v>105</v>
      </c>
      <c r="B76" s="117">
        <v>1041685.7553203324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1041685.7553203324</v>
      </c>
      <c r="AD76" s="41"/>
      <c r="AE76" s="52">
        <f t="shared" si="13"/>
        <v>1041.6857553203324</v>
      </c>
      <c r="AF76" s="128"/>
      <c r="AG76" s="111"/>
    </row>
    <row r="77" spans="1:33" ht="22.2" customHeight="1" x14ac:dyDescent="0.4">
      <c r="A77" s="100" t="s">
        <v>106</v>
      </c>
      <c r="B77" s="59"/>
      <c r="C77" s="58"/>
      <c r="D77" s="44">
        <v>534104.72279999999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534104.72279999999</v>
      </c>
      <c r="AD77" s="41"/>
      <c r="AE77" s="52">
        <f t="shared" si="13"/>
        <v>534.10472279999999</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158569.11000000002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158569.11000000002</v>
      </c>
      <c r="AD79" s="41"/>
      <c r="AE79" s="52">
        <f t="shared" si="13"/>
        <v>158.56911000000002</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201000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201000</v>
      </c>
      <c r="AD81" s="41"/>
      <c r="AE81" s="52">
        <f t="shared" si="13"/>
        <v>201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1597411.507506656</v>
      </c>
      <c r="C83" s="44">
        <v>194831.38694750555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1792242.8944541616</v>
      </c>
      <c r="AD83" s="41"/>
      <c r="AE83" s="52">
        <f t="shared" si="13"/>
        <v>1792.2428944541616</v>
      </c>
      <c r="AF83" s="128"/>
      <c r="AG83" s="111"/>
    </row>
    <row r="84" spans="1:33" ht="22.2" customHeight="1" x14ac:dyDescent="0.4">
      <c r="A84" s="100" t="s">
        <v>113</v>
      </c>
      <c r="B84" s="59"/>
      <c r="C84" s="58"/>
      <c r="D84" s="58"/>
      <c r="E84" s="160">
        <v>2787787.8400000003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2787787.8400000003</v>
      </c>
      <c r="AD84" s="41"/>
      <c r="AE84" s="52">
        <f t="shared" si="13"/>
        <v>2787.7878400000004</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19970169.399999999</v>
      </c>
      <c r="C86" s="37">
        <f>SUM(C87:C93)</f>
        <v>3521.52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19973690.919999998</v>
      </c>
      <c r="AD86" s="41"/>
      <c r="AE86" s="37">
        <f>AC86/1000</f>
        <v>19973.690919999997</v>
      </c>
      <c r="AF86" s="128"/>
      <c r="AG86" s="76"/>
    </row>
    <row r="87" spans="1:33" ht="22.2" customHeight="1" x14ac:dyDescent="0.4">
      <c r="A87" s="100" t="s">
        <v>116</v>
      </c>
      <c r="B87" s="44">
        <v>19535537.359999999</v>
      </c>
      <c r="C87" s="162">
        <v>3521.52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19539058.879999999</v>
      </c>
      <c r="AD87" s="41"/>
      <c r="AE87" s="52">
        <f t="shared" si="13"/>
        <v>19539.05888</v>
      </c>
      <c r="AF87" s="128"/>
      <c r="AG87" s="111"/>
    </row>
    <row r="88" spans="1:33" ht="22.2" customHeight="1" x14ac:dyDescent="0.4">
      <c r="A88" s="100" t="s">
        <v>117</v>
      </c>
      <c r="B88" s="44">
        <v>318551.90000000002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318551.90000000002</v>
      </c>
      <c r="AD88" s="41"/>
      <c r="AE88" s="52">
        <f t="shared" si="13"/>
        <v>318.55190000000005</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0"/>
      <c r="V89" s="160"/>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116080.14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116080.14</v>
      </c>
      <c r="AD91" s="41"/>
      <c r="AE91" s="52">
        <f t="shared" si="13"/>
        <v>116.08014</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144258.23692709734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144258.23692709734</v>
      </c>
      <c r="AD94" s="41"/>
      <c r="AE94" s="37">
        <f t="shared" si="13"/>
        <v>144.25823692709736</v>
      </c>
      <c r="AF94" s="128"/>
      <c r="AG94" s="78"/>
    </row>
    <row r="95" spans="1:33" ht="22.2" customHeight="1" x14ac:dyDescent="0.4">
      <c r="A95" s="100" t="s">
        <v>124</v>
      </c>
      <c r="B95" s="44">
        <v>124937.12072529602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124937.12072529602</v>
      </c>
      <c r="AD95" s="41"/>
      <c r="AE95" s="52">
        <f t="shared" si="13"/>
        <v>124.93712072529601</v>
      </c>
      <c r="AF95" s="128"/>
      <c r="AG95" s="111"/>
    </row>
    <row r="96" spans="1:33" ht="22.2" customHeight="1" x14ac:dyDescent="0.4">
      <c r="A96" s="100" t="s">
        <v>125</v>
      </c>
      <c r="B96" s="44">
        <v>19321.116201801335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19321.116201801335</v>
      </c>
      <c r="AD96" s="41"/>
      <c r="AE96" s="52">
        <f t="shared" si="13"/>
        <v>19.321116201801335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209.55222774412854</v>
      </c>
      <c r="E99" s="66">
        <f>SUM(E100:E102)</f>
        <v>372.37199999999996</v>
      </c>
      <c r="F99" s="47"/>
      <c r="G99" s="47"/>
      <c r="H99" s="47"/>
      <c r="I99" s="47"/>
      <c r="J99" s="47"/>
      <c r="K99" s="47"/>
      <c r="L99" s="47"/>
      <c r="M99" s="47"/>
      <c r="N99" s="47"/>
      <c r="O99" s="47"/>
      <c r="P99" s="47"/>
      <c r="Q99" s="47"/>
      <c r="R99" s="47"/>
      <c r="S99" s="47"/>
      <c r="T99" s="66">
        <f>SUM(T100:T102)</f>
        <v>1.2198186000000002</v>
      </c>
      <c r="U99" s="66">
        <f t="shared" ref="U99:AB99" si="16">SUM(U100:U102)</f>
        <v>19252.432585913848</v>
      </c>
      <c r="V99" s="66">
        <f t="shared" si="16"/>
        <v>1990.1871310344829</v>
      </c>
      <c r="W99" s="66">
        <f t="shared" si="16"/>
        <v>160.36020000000002</v>
      </c>
      <c r="X99" s="66">
        <f t="shared" si="16"/>
        <v>1.8018000000000001E-3</v>
      </c>
      <c r="Y99" s="66">
        <f t="shared" si="16"/>
        <v>57.40022118164061</v>
      </c>
      <c r="Z99" s="66">
        <f t="shared" si="16"/>
        <v>1.2012000000000001E-3</v>
      </c>
      <c r="AA99" s="66">
        <f t="shared" si="16"/>
        <v>1674.6435661942987</v>
      </c>
      <c r="AB99" s="66">
        <f t="shared" si="16"/>
        <v>1755.9187486178116</v>
      </c>
      <c r="AC99" s="37">
        <f>SUM(AC100:AC104)</f>
        <v>25474.089502286213</v>
      </c>
      <c r="AD99" s="41"/>
      <c r="AE99" s="37">
        <f t="shared" si="13"/>
        <v>25.474089502286212</v>
      </c>
      <c r="AF99" s="128"/>
      <c r="AG99" s="63"/>
    </row>
    <row r="100" spans="1:33" ht="22.2" customHeight="1" x14ac:dyDescent="0.4">
      <c r="A100" s="100" t="s">
        <v>129</v>
      </c>
      <c r="B100" s="63"/>
      <c r="C100" s="63"/>
      <c r="D100" s="44">
        <v>160.75059000000002</v>
      </c>
      <c r="E100" s="160">
        <v>372.37199999999996</v>
      </c>
      <c r="F100" s="47"/>
      <c r="G100" s="47"/>
      <c r="H100" s="47"/>
      <c r="I100" s="47"/>
      <c r="J100" s="47"/>
      <c r="K100" s="47"/>
      <c r="L100" s="47"/>
      <c r="M100" s="47"/>
      <c r="N100" s="47"/>
      <c r="O100" s="47"/>
      <c r="P100" s="47"/>
      <c r="Q100" s="47"/>
      <c r="R100" s="47"/>
      <c r="S100" s="47"/>
      <c r="T100" s="160">
        <v>1.2198186000000002</v>
      </c>
      <c r="U100" s="160">
        <v>1433.51208</v>
      </c>
      <c r="V100" s="160">
        <v>799.99919999999997</v>
      </c>
      <c r="W100" s="160">
        <v>160.36020000000002</v>
      </c>
      <c r="X100" s="160">
        <v>1.8018000000000001E-3</v>
      </c>
      <c r="Y100" s="160">
        <v>57.297240000000009</v>
      </c>
      <c r="Z100" s="160">
        <v>1.2012000000000001E-3</v>
      </c>
      <c r="AA100" s="160">
        <v>1450.4490000000001</v>
      </c>
      <c r="AB100" s="160">
        <v>705.70500000000004</v>
      </c>
      <c r="AC100" s="52">
        <f>SUM(B100:AB100)</f>
        <v>5141.6681316000004</v>
      </c>
      <c r="AD100" s="41"/>
      <c r="AE100" s="52">
        <f t="shared" si="13"/>
        <v>5.1416681316000004</v>
      </c>
      <c r="AF100" s="128"/>
      <c r="AG100" s="111"/>
    </row>
    <row r="101" spans="1:33" ht="22.2" customHeight="1" x14ac:dyDescent="0.4">
      <c r="A101" s="100" t="s">
        <v>130</v>
      </c>
      <c r="B101" s="64"/>
      <c r="C101" s="63"/>
      <c r="D101" s="44">
        <v>48.801637744128534</v>
      </c>
      <c r="E101" s="45"/>
      <c r="F101" s="47"/>
      <c r="G101" s="47"/>
      <c r="H101" s="47"/>
      <c r="I101" s="47"/>
      <c r="J101" s="47"/>
      <c r="K101" s="47"/>
      <c r="L101" s="47"/>
      <c r="M101" s="47"/>
      <c r="N101" s="47"/>
      <c r="O101" s="47"/>
      <c r="P101" s="47"/>
      <c r="Q101" s="47"/>
      <c r="R101" s="47"/>
      <c r="S101" s="47"/>
      <c r="T101" s="47"/>
      <c r="U101" s="160">
        <v>46.519643844880868</v>
      </c>
      <c r="V101" s="47"/>
      <c r="W101" s="47"/>
      <c r="X101" s="47"/>
      <c r="Y101" s="160">
        <v>0.1029811816405995</v>
      </c>
      <c r="Z101" s="47"/>
      <c r="AA101" s="160">
        <v>224.19456619429877</v>
      </c>
      <c r="AB101" s="160">
        <v>1050.2137486178117</v>
      </c>
      <c r="AC101" s="52">
        <f>SUM(B101:AB101)</f>
        <v>1369.8325775827605</v>
      </c>
      <c r="AD101" s="41"/>
      <c r="AE101" s="52">
        <f t="shared" si="13"/>
        <v>1.3698325775827604</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0">
        <v>17772.400862068967</v>
      </c>
      <c r="V102" s="160">
        <v>1190.187931034483</v>
      </c>
      <c r="W102" s="47"/>
      <c r="X102" s="47"/>
      <c r="Y102" s="47"/>
      <c r="Z102" s="47"/>
      <c r="AA102" s="47"/>
      <c r="AB102" s="75"/>
      <c r="AC102" s="52">
        <f>SUM(B102:AB102)</f>
        <v>18962.588793103452</v>
      </c>
      <c r="AD102" s="41"/>
      <c r="AE102" s="52">
        <f t="shared" si="13"/>
        <v>18.962588793103453</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465280.96299999999</v>
      </c>
      <c r="G105" s="67">
        <f t="shared" ref="G105:S105" si="17">SUM(G106:G111)</f>
        <v>27214.062000000002</v>
      </c>
      <c r="H105" s="66">
        <f t="shared" si="17"/>
        <v>8669.93</v>
      </c>
      <c r="I105" s="66">
        <f t="shared" si="17"/>
        <v>4386.2759999999998</v>
      </c>
      <c r="J105" s="66">
        <f t="shared" si="17"/>
        <v>5702656.2870000005</v>
      </c>
      <c r="K105" s="66">
        <f t="shared" si="17"/>
        <v>6637771.017</v>
      </c>
      <c r="L105" s="66">
        <f t="shared" si="17"/>
        <v>136488.98699999999</v>
      </c>
      <c r="M105" s="66">
        <f t="shared" si="17"/>
        <v>464025.04100000003</v>
      </c>
      <c r="N105" s="66">
        <f t="shared" si="17"/>
        <v>315089.946</v>
      </c>
      <c r="O105" s="66">
        <f t="shared" si="17"/>
        <v>12144.904</v>
      </c>
      <c r="P105" s="66">
        <f t="shared" si="17"/>
        <v>35115.953000000001</v>
      </c>
      <c r="Q105" s="66">
        <f t="shared" si="17"/>
        <v>248.779</v>
      </c>
      <c r="R105" s="67">
        <f t="shared" si="17"/>
        <v>262.42599999999999</v>
      </c>
      <c r="S105" s="66">
        <f t="shared" si="17"/>
        <v>1143939.412</v>
      </c>
      <c r="T105" s="47"/>
      <c r="U105" s="47"/>
      <c r="V105" s="47"/>
      <c r="W105" s="47"/>
      <c r="X105" s="47"/>
      <c r="Y105" s="47"/>
      <c r="Z105" s="47"/>
      <c r="AA105" s="47"/>
      <c r="AB105" s="75"/>
      <c r="AC105" s="37">
        <f>SUM(AC106:AC111)</f>
        <v>14953293.983000001</v>
      </c>
      <c r="AD105" s="41"/>
      <c r="AE105" s="37">
        <f>AC105/1000</f>
        <v>14953.293983000001</v>
      </c>
      <c r="AF105" s="128"/>
      <c r="AG105" s="63"/>
    </row>
    <row r="106" spans="1:33" ht="22.2" customHeight="1" x14ac:dyDescent="0.4">
      <c r="A106" s="100" t="s">
        <v>135</v>
      </c>
      <c r="B106" s="63"/>
      <c r="C106" s="63"/>
      <c r="D106" s="63"/>
      <c r="E106" s="45"/>
      <c r="F106" s="160">
        <v>465280.96299999999</v>
      </c>
      <c r="G106" s="47"/>
      <c r="H106" s="47"/>
      <c r="I106" s="47"/>
      <c r="J106" s="160">
        <v>5372852.0360000003</v>
      </c>
      <c r="K106" s="160">
        <v>6637771.017</v>
      </c>
      <c r="L106" s="160">
        <v>136488.98699999999</v>
      </c>
      <c r="M106" s="105"/>
      <c r="N106" s="47"/>
      <c r="O106" s="47"/>
      <c r="P106" s="47"/>
      <c r="Q106" s="47"/>
      <c r="R106" s="47"/>
      <c r="S106" s="160">
        <v>1143939.412</v>
      </c>
      <c r="T106" s="47"/>
      <c r="U106" s="47"/>
      <c r="V106" s="47"/>
      <c r="W106" s="47"/>
      <c r="X106" s="47"/>
      <c r="Y106" s="47"/>
      <c r="Z106" s="47"/>
      <c r="AA106" s="47"/>
      <c r="AB106" s="75"/>
      <c r="AC106" s="52">
        <f>SUM(B106:AB106)</f>
        <v>13756332.414999999</v>
      </c>
      <c r="AD106" s="41"/>
      <c r="AE106" s="52">
        <f>AC106/1000</f>
        <v>13756.332414999999</v>
      </c>
      <c r="AF106" s="128"/>
      <c r="AG106" s="111"/>
    </row>
    <row r="107" spans="1:33" ht="22.2" customHeight="1" x14ac:dyDescent="0.4">
      <c r="A107" s="100" t="s">
        <v>136</v>
      </c>
      <c r="B107" s="63"/>
      <c r="C107" s="63"/>
      <c r="D107" s="63"/>
      <c r="E107" s="45"/>
      <c r="F107" s="47"/>
      <c r="G107" s="47"/>
      <c r="H107" s="47"/>
      <c r="I107" s="160">
        <v>4386.2759999999998</v>
      </c>
      <c r="J107" s="160">
        <v>2934.7269999999999</v>
      </c>
      <c r="K107" s="47"/>
      <c r="L107" s="47"/>
      <c r="M107" s="160">
        <v>464025.04100000003</v>
      </c>
      <c r="N107" s="47"/>
      <c r="O107" s="47"/>
      <c r="P107" s="47"/>
      <c r="Q107" s="160">
        <v>248.779</v>
      </c>
      <c r="R107" s="47"/>
      <c r="S107" s="47"/>
      <c r="T107" s="47"/>
      <c r="U107" s="47"/>
      <c r="V107" s="47"/>
      <c r="W107" s="47"/>
      <c r="X107" s="47"/>
      <c r="Y107" s="47"/>
      <c r="Z107" s="47"/>
      <c r="AA107" s="47"/>
      <c r="AB107" s="75"/>
      <c r="AC107" s="52">
        <f>SUM(B107:AB107)</f>
        <v>471594.82300000003</v>
      </c>
      <c r="AD107" s="41"/>
      <c r="AE107" s="52">
        <f t="shared" si="13"/>
        <v>471.59482300000002</v>
      </c>
      <c r="AF107" s="128"/>
      <c r="AG107" s="111"/>
    </row>
    <row r="108" spans="1:33" ht="22.2" customHeight="1" x14ac:dyDescent="0.4">
      <c r="A108" s="100" t="s">
        <v>137</v>
      </c>
      <c r="B108" s="63"/>
      <c r="C108" s="63"/>
      <c r="D108" s="63"/>
      <c r="E108" s="45"/>
      <c r="F108" s="47"/>
      <c r="G108" s="47"/>
      <c r="H108" s="160">
        <v>8669.93</v>
      </c>
      <c r="I108" s="47"/>
      <c r="J108" s="47"/>
      <c r="K108" s="47"/>
      <c r="L108" s="47"/>
      <c r="M108" s="47"/>
      <c r="N108" s="47"/>
      <c r="O108" s="160">
        <v>12144.904</v>
      </c>
      <c r="P108" s="160">
        <v>35115.953000000001</v>
      </c>
      <c r="Q108" s="47"/>
      <c r="R108" s="160">
        <v>262.42599999999999</v>
      </c>
      <c r="S108" s="47"/>
      <c r="T108" s="47"/>
      <c r="U108" s="47"/>
      <c r="V108" s="47"/>
      <c r="W108" s="47"/>
      <c r="X108" s="47"/>
      <c r="Y108" s="47"/>
      <c r="Z108" s="47"/>
      <c r="AA108" s="47"/>
      <c r="AB108" s="75"/>
      <c r="AC108" s="52">
        <f>SUM(B108:AB108)</f>
        <v>56193.213000000003</v>
      </c>
      <c r="AD108" s="41"/>
      <c r="AE108" s="52">
        <f t="shared" si="13"/>
        <v>56.193213</v>
      </c>
      <c r="AF108" s="128"/>
      <c r="AG108" s="111"/>
    </row>
    <row r="109" spans="1:33" ht="22.2" customHeight="1" x14ac:dyDescent="0.4">
      <c r="A109" s="100" t="s">
        <v>138</v>
      </c>
      <c r="B109" s="63"/>
      <c r="C109" s="63"/>
      <c r="D109" s="63"/>
      <c r="E109" s="45"/>
      <c r="F109" s="47"/>
      <c r="G109" s="47"/>
      <c r="H109" s="47"/>
      <c r="I109" s="47"/>
      <c r="J109" s="160">
        <v>326869.52399999998</v>
      </c>
      <c r="K109" s="47"/>
      <c r="L109" s="47"/>
      <c r="M109" s="47"/>
      <c r="N109" s="160">
        <v>315089.946</v>
      </c>
      <c r="O109" s="47"/>
      <c r="P109" s="47"/>
      <c r="Q109" s="160">
        <v>0</v>
      </c>
      <c r="R109" s="47"/>
      <c r="S109" s="47"/>
      <c r="T109" s="47"/>
      <c r="U109" s="47"/>
      <c r="V109" s="47"/>
      <c r="W109" s="47"/>
      <c r="X109" s="47"/>
      <c r="Y109" s="47"/>
      <c r="Z109" s="47"/>
      <c r="AA109" s="47"/>
      <c r="AB109" s="75"/>
      <c r="AC109" s="52">
        <f>SUM(B109:AB109)</f>
        <v>641959.47</v>
      </c>
      <c r="AD109" s="41"/>
      <c r="AE109" s="52">
        <f t="shared" si="13"/>
        <v>641.95947000000001</v>
      </c>
      <c r="AF109" s="128"/>
      <c r="AG109" s="111"/>
    </row>
    <row r="110" spans="1:33" ht="22.2" customHeight="1" x14ac:dyDescent="0.4">
      <c r="A110" s="100" t="s">
        <v>139</v>
      </c>
      <c r="B110" s="64"/>
      <c r="C110" s="63"/>
      <c r="D110" s="63"/>
      <c r="E110" s="45"/>
      <c r="F110" s="47"/>
      <c r="G110" s="160">
        <v>27214.062000000002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27214.062000000002</v>
      </c>
      <c r="AD110" s="41"/>
      <c r="AE110" s="52">
        <f t="shared" si="13"/>
        <v>27.214062000000002</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184106.55</v>
      </c>
      <c r="AC112" s="37">
        <f>SUM(AC113:AC116)</f>
        <v>184106.55</v>
      </c>
      <c r="AD112" s="41"/>
      <c r="AE112" s="37">
        <f t="shared" si="13"/>
        <v>184.10655</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0">
        <v>184106.55</v>
      </c>
      <c r="AC113" s="52">
        <f>SUM(B113:AB113)</f>
        <v>184106.55</v>
      </c>
      <c r="AD113" s="41"/>
      <c r="AE113" s="52">
        <f t="shared" si="13"/>
        <v>184.10655</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51711.768413557358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51711.768413557358</v>
      </c>
      <c r="AD117" s="41"/>
      <c r="AE117" s="37">
        <f t="shared" si="13"/>
        <v>51.711768413557358</v>
      </c>
      <c r="AF117" s="128"/>
      <c r="AG117" s="64"/>
    </row>
    <row r="118" spans="1:33" ht="22.2" customHeight="1" x14ac:dyDescent="0.4">
      <c r="A118" s="100" t="s">
        <v>147</v>
      </c>
      <c r="B118" s="44">
        <v>51711.768413557358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51711.768413557358</v>
      </c>
      <c r="AD118" s="41"/>
      <c r="AE118" s="52">
        <f t="shared" si="13"/>
        <v>51.711768413557358</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1338679.24</v>
      </c>
      <c r="C121" s="33">
        <f>C122+C132+SUM(C143:C149)</f>
        <v>90316605.944600001</v>
      </c>
      <c r="D121" s="33">
        <f>D122+D132+SUM(D143:D149)</f>
        <v>29563770.114213999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121219055.298814</v>
      </c>
      <c r="AD121" s="41"/>
      <c r="AE121" s="57">
        <f t="shared" si="13"/>
        <v>121219.055298814</v>
      </c>
      <c r="AF121" s="128"/>
      <c r="AG121" s="33">
        <f>SUM(AG122:AG149)</f>
        <v>3925.42</v>
      </c>
    </row>
    <row r="122" spans="1:33" ht="22.2" customHeight="1" x14ac:dyDescent="0.4">
      <c r="A122" s="22" t="s">
        <v>151</v>
      </c>
      <c r="B122" s="58"/>
      <c r="C122" s="37">
        <f>SUM(C123:C131)</f>
        <v>72058466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72058466</v>
      </c>
      <c r="AD122" s="41"/>
      <c r="AE122" s="37">
        <f t="shared" si="13"/>
        <v>72058.466</v>
      </c>
      <c r="AF122" s="128"/>
      <c r="AG122" s="63"/>
    </row>
    <row r="123" spans="1:33" ht="22.2" customHeight="1" x14ac:dyDescent="0.4">
      <c r="A123" s="21" t="s">
        <v>152</v>
      </c>
      <c r="B123" s="58"/>
      <c r="C123" s="44">
        <v>67870036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67870036</v>
      </c>
      <c r="AD123" s="41"/>
      <c r="AE123" s="52">
        <f t="shared" si="13"/>
        <v>67870.035999999993</v>
      </c>
      <c r="AF123" s="128"/>
      <c r="AG123" s="111"/>
    </row>
    <row r="124" spans="1:33" ht="22.2" customHeight="1" x14ac:dyDescent="0.4">
      <c r="A124" s="21" t="s">
        <v>153</v>
      </c>
      <c r="B124" s="59"/>
      <c r="C124" s="44">
        <v>1608840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1608840</v>
      </c>
      <c r="AD124" s="41"/>
      <c r="AE124" s="52">
        <f t="shared" si="13"/>
        <v>1608.84</v>
      </c>
      <c r="AF124" s="128"/>
      <c r="AG124" s="111"/>
    </row>
    <row r="125" spans="1:33" ht="22.2" customHeight="1" x14ac:dyDescent="0.4">
      <c r="A125" s="21" t="s">
        <v>154</v>
      </c>
      <c r="B125" s="59"/>
      <c r="C125" s="44">
        <v>382953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382953</v>
      </c>
      <c r="AD125" s="41"/>
      <c r="AE125" s="52">
        <f t="shared" si="13"/>
        <v>382.95299999999997</v>
      </c>
      <c r="AF125" s="128"/>
      <c r="AG125" s="111"/>
    </row>
    <row r="126" spans="1:33" ht="22.2" customHeight="1" x14ac:dyDescent="0.4">
      <c r="A126" s="21" t="s">
        <v>155</v>
      </c>
      <c r="B126" s="59"/>
      <c r="C126" s="44">
        <v>268817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268817</v>
      </c>
      <c r="AD126" s="41"/>
      <c r="AE126" s="52">
        <f t="shared" si="13"/>
        <v>268.81700000000001</v>
      </c>
      <c r="AF126" s="128"/>
      <c r="AG126" s="111"/>
    </row>
    <row r="127" spans="1:33" ht="22.2" customHeight="1" x14ac:dyDescent="0.4">
      <c r="A127" s="21" t="s">
        <v>156</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157</v>
      </c>
      <c r="B128" s="59"/>
      <c r="C128" s="44">
        <v>1386575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1386575</v>
      </c>
      <c r="AD128" s="41"/>
      <c r="AE128" s="52">
        <f t="shared" si="13"/>
        <v>1386.575</v>
      </c>
      <c r="AF128" s="128"/>
      <c r="AG128" s="111"/>
    </row>
    <row r="129" spans="1:33" ht="22.2" customHeight="1" x14ac:dyDescent="0.4">
      <c r="A129" s="21" t="s">
        <v>158</v>
      </c>
      <c r="B129" s="76"/>
      <c r="C129" s="44">
        <v>433715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433715</v>
      </c>
      <c r="AD129" s="41"/>
      <c r="AE129" s="52">
        <f t="shared" si="13"/>
        <v>433.71499999999997</v>
      </c>
      <c r="AF129" s="128"/>
      <c r="AG129" s="111"/>
    </row>
    <row r="130" spans="1:33" ht="22.2" customHeight="1" x14ac:dyDescent="0.4">
      <c r="A130" s="21" t="s">
        <v>159</v>
      </c>
      <c r="B130" s="77"/>
      <c r="C130" s="44">
        <v>107530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107530</v>
      </c>
      <c r="AD130" s="41"/>
      <c r="AE130" s="52">
        <f t="shared" si="13"/>
        <v>107.53</v>
      </c>
      <c r="AF130" s="128"/>
      <c r="AG130" s="111"/>
    </row>
    <row r="131" spans="1:33" ht="22.2" customHeight="1" x14ac:dyDescent="0.4">
      <c r="A131" s="21" t="s">
        <v>160</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161</v>
      </c>
      <c r="B132" s="78"/>
      <c r="C132" s="62">
        <f>SUM(C133:C142)</f>
        <v>17448998</v>
      </c>
      <c r="D132" s="62">
        <f>SUM(D133:D142)</f>
        <v>7098501.5025000004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24547499.502500001</v>
      </c>
      <c r="AD132" s="41"/>
      <c r="AE132" s="37">
        <f t="shared" si="13"/>
        <v>24547.499502500003</v>
      </c>
      <c r="AF132" s="128"/>
      <c r="AG132" s="78"/>
    </row>
    <row r="133" spans="1:33" ht="22.2" customHeight="1" x14ac:dyDescent="0.4">
      <c r="A133" s="21" t="s">
        <v>162</v>
      </c>
      <c r="B133" s="59"/>
      <c r="C133" s="44">
        <v>10413651</v>
      </c>
      <c r="D133" s="44">
        <v>5764412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16178063</v>
      </c>
      <c r="AD133" s="41"/>
      <c r="AE133" s="52">
        <f t="shared" si="13"/>
        <v>16178.063</v>
      </c>
      <c r="AF133" s="128"/>
      <c r="AG133" s="111"/>
    </row>
    <row r="134" spans="1:33" ht="22.2" customHeight="1" x14ac:dyDescent="0.4">
      <c r="A134" s="21" t="s">
        <v>163</v>
      </c>
      <c r="B134" s="59"/>
      <c r="C134" s="44">
        <v>35218</v>
      </c>
      <c r="D134" s="44">
        <v>35743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70961</v>
      </c>
      <c r="AD134" s="41"/>
      <c r="AE134" s="52">
        <f t="shared" si="13"/>
        <v>70.960999999999999</v>
      </c>
      <c r="AF134" s="128"/>
      <c r="AG134" s="111"/>
    </row>
    <row r="135" spans="1:33" ht="22.2" customHeight="1" x14ac:dyDescent="0.4">
      <c r="A135" s="21" t="s">
        <v>164</v>
      </c>
      <c r="B135" s="59"/>
      <c r="C135" s="44">
        <v>5168280</v>
      </c>
      <c r="D135" s="44">
        <v>506660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5674940</v>
      </c>
      <c r="AD135" s="41"/>
      <c r="AE135" s="52">
        <f t="shared" si="13"/>
        <v>5674.94</v>
      </c>
      <c r="AF135" s="128"/>
      <c r="AG135" s="111"/>
    </row>
    <row r="136" spans="1:33" ht="22.2" customHeight="1" x14ac:dyDescent="0.4">
      <c r="A136" s="21" t="s">
        <v>165</v>
      </c>
      <c r="B136" s="59"/>
      <c r="C136" s="44">
        <v>7906</v>
      </c>
      <c r="D136" s="44">
        <v>26395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34301</v>
      </c>
      <c r="AD136" s="41"/>
      <c r="AE136" s="52">
        <f t="shared" si="13"/>
        <v>34.301000000000002</v>
      </c>
      <c r="AF136" s="128"/>
      <c r="AG136" s="111"/>
    </row>
    <row r="137" spans="1:33" ht="22.2" customHeight="1" x14ac:dyDescent="0.4">
      <c r="A137" s="21" t="s">
        <v>166</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167</v>
      </c>
      <c r="B138" s="59"/>
      <c r="C138" s="44">
        <v>37695</v>
      </c>
      <c r="D138" s="44">
        <v>20998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58693</v>
      </c>
      <c r="AD138" s="41"/>
      <c r="AE138" s="52">
        <f t="shared" si="20"/>
        <v>58.692999999999998</v>
      </c>
      <c r="AF138" s="128"/>
      <c r="AG138" s="111"/>
    </row>
    <row r="139" spans="1:33" ht="22.2" customHeight="1" x14ac:dyDescent="0.4">
      <c r="A139" s="21" t="s">
        <v>168</v>
      </c>
      <c r="B139" s="59"/>
      <c r="C139" s="44">
        <v>40308</v>
      </c>
      <c r="D139" s="44">
        <v>330924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371232</v>
      </c>
      <c r="AD139" s="41"/>
      <c r="AE139" s="52">
        <f t="shared" si="20"/>
        <v>371.23200000000003</v>
      </c>
      <c r="AF139" s="128"/>
      <c r="AG139" s="111"/>
    </row>
    <row r="140" spans="1:33" ht="22.2" customHeight="1" x14ac:dyDescent="0.4">
      <c r="A140" s="21" t="s">
        <v>169</v>
      </c>
      <c r="B140" s="59"/>
      <c r="C140" s="44">
        <v>10316</v>
      </c>
      <c r="D140" s="44">
        <v>73225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83541</v>
      </c>
      <c r="AD140" s="41"/>
      <c r="AE140" s="52">
        <f t="shared" si="20"/>
        <v>83.540999999999997</v>
      </c>
      <c r="AF140" s="128"/>
      <c r="AG140" s="111"/>
    </row>
    <row r="141" spans="1:33" ht="22.2" customHeight="1" x14ac:dyDescent="0.4">
      <c r="A141" s="21" t="s">
        <v>170</v>
      </c>
      <c r="B141" s="76"/>
      <c r="C141" s="44">
        <v>1735624</v>
      </c>
      <c r="D141" s="44">
        <v>340144.5025</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2075768.5024999999</v>
      </c>
      <c r="AD141" s="41"/>
      <c r="AE141" s="52">
        <f t="shared" si="20"/>
        <v>2075.7685025000001</v>
      </c>
      <c r="AF141" s="128"/>
      <c r="AG141" s="111"/>
    </row>
    <row r="142" spans="1:33" ht="22.2" customHeight="1" x14ac:dyDescent="0.4">
      <c r="A142" s="21" t="s">
        <v>171</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172</v>
      </c>
      <c r="B143" s="59"/>
      <c r="C143" s="75"/>
      <c r="D143" s="44">
        <v>2919331.997</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2919331.997</v>
      </c>
      <c r="AD143" s="41"/>
      <c r="AE143" s="52">
        <f t="shared" ref="AE143:AE150" si="22">AC143/1000</f>
        <v>2919.3319969999998</v>
      </c>
      <c r="AF143" s="128"/>
      <c r="AG143" s="111"/>
    </row>
    <row r="144" spans="1:33" ht="22.2" customHeight="1" x14ac:dyDescent="0.4">
      <c r="A144" s="22" t="s">
        <v>173</v>
      </c>
      <c r="B144" s="59"/>
      <c r="C144" s="44">
        <v>121055.283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121055.283</v>
      </c>
      <c r="AD144" s="41"/>
      <c r="AE144" s="52">
        <f t="shared" si="22"/>
        <v>121.055283</v>
      </c>
      <c r="AF144" s="128"/>
      <c r="AG144" s="111"/>
    </row>
    <row r="145" spans="1:33" ht="22.2" customHeight="1" x14ac:dyDescent="0.4">
      <c r="A145" s="22" t="s">
        <v>174</v>
      </c>
      <c r="B145" s="59"/>
      <c r="C145" s="75"/>
      <c r="D145" s="44">
        <v>12982707.800000001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12982707.800000001</v>
      </c>
      <c r="AD145" s="41"/>
      <c r="AE145" s="52">
        <f t="shared" si="22"/>
        <v>12982.7078</v>
      </c>
      <c r="AF145" s="128"/>
      <c r="AG145" s="111"/>
    </row>
    <row r="146" spans="1:33" ht="22.2" customHeight="1" x14ac:dyDescent="0.4">
      <c r="A146" s="22" t="s">
        <v>175</v>
      </c>
      <c r="B146" s="59"/>
      <c r="C146" s="75"/>
      <c r="D146" s="44">
        <v>6354852.1717140004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6354852.1717140004</v>
      </c>
      <c r="AD146" s="41"/>
      <c r="AE146" s="52">
        <f t="shared" si="22"/>
        <v>6354.8521717140002</v>
      </c>
      <c r="AF146" s="128"/>
      <c r="AG146" s="111"/>
    </row>
    <row r="147" spans="1:33" ht="22.2" customHeight="1" x14ac:dyDescent="0.4">
      <c r="A147" s="21" t="s">
        <v>176</v>
      </c>
      <c r="B147" s="59"/>
      <c r="C147" s="44">
        <v>688086.66159999999</v>
      </c>
      <c r="D147" s="44">
        <v>208376.64300000001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896463.30460000003</v>
      </c>
      <c r="AD147" s="41"/>
      <c r="AE147" s="52">
        <f t="shared" si="22"/>
        <v>896.46330460000001</v>
      </c>
      <c r="AF147" s="128"/>
      <c r="AG147" s="44">
        <v>3925.42</v>
      </c>
    </row>
    <row r="148" spans="1:33" ht="22.2" customHeight="1" x14ac:dyDescent="0.4">
      <c r="A148" s="22" t="s">
        <v>177</v>
      </c>
      <c r="B148" s="44">
        <v>43114.48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43114.48</v>
      </c>
      <c r="AD148" s="41"/>
      <c r="AE148" s="52">
        <f t="shared" si="22"/>
        <v>43.11448</v>
      </c>
      <c r="AF148" s="128"/>
      <c r="AG148" s="111"/>
    </row>
    <row r="149" spans="1:33" ht="22.2" customHeight="1" x14ac:dyDescent="0.4">
      <c r="A149" s="22" t="s">
        <v>178</v>
      </c>
      <c r="B149" s="44">
        <v>1295564.76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1295564.76</v>
      </c>
      <c r="AD149" s="41"/>
      <c r="AE149" s="52">
        <f t="shared" si="22"/>
        <v>1295.56476</v>
      </c>
      <c r="AF149" s="128"/>
      <c r="AG149" s="111"/>
    </row>
    <row r="150" spans="1:33" ht="22.2" customHeight="1" x14ac:dyDescent="0.4">
      <c r="A150" s="15" t="s">
        <v>179</v>
      </c>
      <c r="B150" s="33">
        <f>B151+B154+B157+B160+B163+B166+B173</f>
        <v>-184070951.69799998</v>
      </c>
      <c r="C150" s="33">
        <f>C169</f>
        <v>178216.75649999999</v>
      </c>
      <c r="D150" s="33">
        <f>D169</f>
        <v>95602.1921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-183797132.74939999</v>
      </c>
      <c r="AD150" s="41"/>
      <c r="AE150" s="57">
        <f t="shared" si="22"/>
        <v>-183797.13274939999</v>
      </c>
      <c r="AF150" s="128"/>
      <c r="AG150" s="33">
        <f>AG169</f>
        <v>1395.1510000000001</v>
      </c>
    </row>
    <row r="151" spans="1:33" ht="22.2" customHeight="1" x14ac:dyDescent="0.4">
      <c r="A151" s="22" t="s">
        <v>180</v>
      </c>
      <c r="B151" s="151">
        <f>SUM(B152:B153)</f>
        <v>-184793787.80599999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-184793787.80599999</v>
      </c>
      <c r="AD151" s="41"/>
      <c r="AE151" s="79">
        <f t="shared" si="20"/>
        <v>-184793.78780600001</v>
      </c>
      <c r="AF151" s="128"/>
      <c r="AG151" s="63"/>
    </row>
    <row r="152" spans="1:33" ht="22.2" customHeight="1" x14ac:dyDescent="0.4">
      <c r="A152" s="21" t="s">
        <v>181</v>
      </c>
      <c r="B152" s="44">
        <v>-181463511.23890001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-181463511.23890001</v>
      </c>
      <c r="AD152" s="41"/>
      <c r="AE152" s="52">
        <f t="shared" si="20"/>
        <v>-181463.51123890001</v>
      </c>
      <c r="AF152" s="128"/>
      <c r="AG152" s="111"/>
    </row>
    <row r="153" spans="1:33" ht="22.2" customHeight="1" x14ac:dyDescent="0.4">
      <c r="A153" s="21" t="s">
        <v>182</v>
      </c>
      <c r="B153" s="44">
        <v>-3330276.5671000001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-3330276.5671000001</v>
      </c>
      <c r="AD153" s="41"/>
      <c r="AE153" s="52">
        <f t="shared" si="20"/>
        <v>-3330.2765671000002</v>
      </c>
      <c r="AF153" s="128"/>
      <c r="AG153" s="111"/>
    </row>
    <row r="154" spans="1:33" ht="22.2" customHeight="1" x14ac:dyDescent="0.4">
      <c r="A154" s="22" t="s">
        <v>183</v>
      </c>
      <c r="B154" s="151">
        <f>SUM(B155:B156)</f>
        <v>-11500353.892299999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-11500353.892299999</v>
      </c>
      <c r="AD154" s="41"/>
      <c r="AE154" s="79">
        <f t="shared" si="20"/>
        <v>-11500.353892299998</v>
      </c>
      <c r="AF154" s="128"/>
      <c r="AG154" s="63"/>
    </row>
    <row r="155" spans="1:33" ht="22.2" customHeight="1" x14ac:dyDescent="0.4">
      <c r="A155" s="21" t="s">
        <v>184</v>
      </c>
      <c r="B155" s="44">
        <v>-18126156.970199998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-18126156.970199998</v>
      </c>
      <c r="AD155" s="41"/>
      <c r="AE155" s="52">
        <f t="shared" si="20"/>
        <v>-18126.156970199998</v>
      </c>
      <c r="AF155" s="128"/>
      <c r="AG155" s="111"/>
    </row>
    <row r="156" spans="1:33" ht="22.2" customHeight="1" x14ac:dyDescent="0.4">
      <c r="A156" s="21" t="s">
        <v>185</v>
      </c>
      <c r="B156" s="44">
        <v>6625803.0778999999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6625803.0778999999</v>
      </c>
      <c r="AD156" s="41"/>
      <c r="AE156" s="52">
        <f t="shared" si="20"/>
        <v>6625.8030779000001</v>
      </c>
      <c r="AF156" s="128"/>
      <c r="AG156" s="111"/>
    </row>
    <row r="157" spans="1:33" ht="22.2" customHeight="1" x14ac:dyDescent="0.4">
      <c r="A157" s="22" t="s">
        <v>186</v>
      </c>
      <c r="B157" s="151">
        <f>SUM(B158:B159)</f>
        <v>13321729.2951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13321729.2951</v>
      </c>
      <c r="AD157" s="41"/>
      <c r="AE157" s="79">
        <f t="shared" si="20"/>
        <v>13321.7292951</v>
      </c>
      <c r="AF157" s="128"/>
      <c r="AG157" s="63"/>
    </row>
    <row r="158" spans="1:33" ht="22.2" customHeight="1" x14ac:dyDescent="0.4">
      <c r="A158" s="21" t="s">
        <v>187</v>
      </c>
      <c r="B158" s="44">
        <v>-459461.83559999999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-459461.83559999999</v>
      </c>
      <c r="AD158" s="41"/>
      <c r="AE158" s="52">
        <f t="shared" si="20"/>
        <v>-459.46183559999997</v>
      </c>
      <c r="AF158" s="128"/>
      <c r="AG158" s="111"/>
    </row>
    <row r="159" spans="1:33" ht="22.2" customHeight="1" x14ac:dyDescent="0.4">
      <c r="A159" s="21" t="s">
        <v>188</v>
      </c>
      <c r="B159" s="44">
        <v>13781191.1307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13781191.1307</v>
      </c>
      <c r="AD159" s="41"/>
      <c r="AE159" s="52">
        <f t="shared" si="20"/>
        <v>13781.191130699999</v>
      </c>
      <c r="AF159" s="128"/>
      <c r="AG159" s="111"/>
    </row>
    <row r="160" spans="1:33" ht="22.2" customHeight="1" x14ac:dyDescent="0.4">
      <c r="A160" s="22" t="s">
        <v>189</v>
      </c>
      <c r="B160" s="151">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190</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191</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192</v>
      </c>
      <c r="B163" s="151">
        <f>SUM(B164:B165)</f>
        <v>206975.26509999999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206975.26509999999</v>
      </c>
      <c r="AD163" s="41"/>
      <c r="AE163" s="79">
        <f t="shared" si="20"/>
        <v>206.9752651</v>
      </c>
      <c r="AF163" s="128"/>
      <c r="AG163" s="63"/>
    </row>
    <row r="164" spans="1:33" ht="22.2" customHeight="1" x14ac:dyDescent="0.4">
      <c r="A164" s="21" t="s">
        <v>193</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194</v>
      </c>
      <c r="B165" s="44">
        <v>206975.26509999999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206975.26509999999</v>
      </c>
      <c r="AD165" s="41"/>
      <c r="AE165" s="52">
        <f t="shared" si="20"/>
        <v>206.9752651</v>
      </c>
      <c r="AF165" s="128"/>
      <c r="AG165" s="111"/>
    </row>
    <row r="166" spans="1:33" ht="22.2" customHeight="1" x14ac:dyDescent="0.4">
      <c r="A166" s="22" t="s">
        <v>195</v>
      </c>
      <c r="B166" s="151">
        <f>SUM(B167:B168)</f>
        <v>637993.28559999994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637993.28559999994</v>
      </c>
      <c r="AD166" s="41"/>
      <c r="AE166" s="79">
        <f t="shared" si="20"/>
        <v>637.99328559999992</v>
      </c>
      <c r="AF166" s="128"/>
      <c r="AG166" s="63"/>
    </row>
    <row r="167" spans="1:33" ht="22.2" customHeight="1" x14ac:dyDescent="0.4">
      <c r="A167" s="21" t="s">
        <v>196</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197</v>
      </c>
      <c r="B168" s="44">
        <v>637993.28559999994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637993.28559999994</v>
      </c>
      <c r="AD168" s="41"/>
      <c r="AE168" s="52">
        <f t="shared" si="20"/>
        <v>637.99328559999992</v>
      </c>
      <c r="AF168" s="128"/>
      <c r="AG168" s="111"/>
    </row>
    <row r="169" spans="1:33" ht="22.2" customHeight="1" x14ac:dyDescent="0.4">
      <c r="A169" s="22" t="s">
        <v>198</v>
      </c>
      <c r="B169" s="59"/>
      <c r="C169" s="62">
        <f>SUM(C170:C171)</f>
        <v>178216.75649999999</v>
      </c>
      <c r="D169" s="62">
        <f>SUM(D170:D171)</f>
        <v>95602.1921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273818.9486</v>
      </c>
      <c r="AD169" s="41"/>
      <c r="AE169" s="52">
        <f t="shared" si="20"/>
        <v>273.8189486</v>
      </c>
      <c r="AF169" s="128"/>
      <c r="AG169" s="54">
        <f>SUM(AG170:AG171)</f>
        <v>1395.1510000000001</v>
      </c>
    </row>
    <row r="170" spans="1:33" ht="22.2" customHeight="1" x14ac:dyDescent="0.4">
      <c r="A170" s="21" t="s">
        <v>199</v>
      </c>
      <c r="B170" s="59"/>
      <c r="C170" s="44">
        <v>114882.21649999999</v>
      </c>
      <c r="D170" s="44">
        <v>40872.892099999997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155755.10859999998</v>
      </c>
      <c r="AD170" s="41"/>
      <c r="AE170" s="52">
        <f t="shared" si="20"/>
        <v>155.75510859999997</v>
      </c>
      <c r="AF170" s="128"/>
      <c r="AG170" s="44">
        <v>846.33500000000004</v>
      </c>
    </row>
    <row r="171" spans="1:33" ht="22.2" customHeight="1" x14ac:dyDescent="0.4">
      <c r="A171" s="21" t="s">
        <v>200</v>
      </c>
      <c r="B171" s="59"/>
      <c r="C171" s="44">
        <v>63334.54</v>
      </c>
      <c r="D171" s="44">
        <v>54729.3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118063.84</v>
      </c>
      <c r="AD171" s="41"/>
      <c r="AE171" s="52">
        <f t="shared" si="20"/>
        <v>118.06384</v>
      </c>
      <c r="AF171" s="128"/>
      <c r="AG171" s="44">
        <v>548.81600000000003</v>
      </c>
    </row>
    <row r="172" spans="1:33" ht="22.2" customHeight="1" x14ac:dyDescent="0.4">
      <c r="A172" s="21" t="s">
        <v>201</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202</v>
      </c>
      <c r="B173" s="44">
        <v>-2026349.5086000001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-2026349.5086000001</v>
      </c>
      <c r="AD173" s="41"/>
      <c r="AE173" s="52">
        <f t="shared" si="20"/>
        <v>-2026.3495086</v>
      </c>
      <c r="AF173" s="128"/>
      <c r="AG173" s="111"/>
    </row>
    <row r="174" spans="1:33" ht="22.2" customHeight="1" thickBot="1" x14ac:dyDescent="0.45">
      <c r="A174" s="23" t="s">
        <v>203</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2"/>
      <c r="AC174" s="124"/>
      <c r="AD174" s="41"/>
      <c r="AE174" s="124"/>
      <c r="AF174" s="128"/>
      <c r="AG174" s="127"/>
    </row>
    <row r="175" spans="1:33" ht="22.2" customHeight="1" x14ac:dyDescent="0.4">
      <c r="A175" s="15" t="s">
        <v>204</v>
      </c>
      <c r="B175" s="33">
        <f>B176+B180+B181+B184+B187</f>
        <v>1269937.473</v>
      </c>
      <c r="C175" s="33">
        <f>C176+C180+C181+C184+C187</f>
        <v>41898413.862895265</v>
      </c>
      <c r="D175" s="33">
        <f>D176+D180+D181+D184+D187</f>
        <v>5582182.1160000004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48750533.451895267</v>
      </c>
      <c r="AD175" s="97"/>
      <c r="AE175" s="81">
        <f t="shared" si="20"/>
        <v>48750.533451895266</v>
      </c>
      <c r="AF175" s="128"/>
      <c r="AG175" s="33">
        <f>AG176+AG180+AG181+AG184+AG187</f>
        <v>1479.0108009999999</v>
      </c>
    </row>
    <row r="176" spans="1:33" ht="22.2" customHeight="1" x14ac:dyDescent="0.4">
      <c r="A176" s="24" t="s">
        <v>205</v>
      </c>
      <c r="B176" s="63"/>
      <c r="C176" s="62">
        <f>C177+C178+C179</f>
        <v>19642460.085895266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19642460.085895266</v>
      </c>
      <c r="AD176" s="97"/>
      <c r="AE176" s="37">
        <f t="shared" si="20"/>
        <v>19642.460085895265</v>
      </c>
      <c r="AF176" s="128"/>
      <c r="AG176" s="78"/>
    </row>
    <row r="177" spans="1:33" ht="22.2" customHeight="1" x14ac:dyDescent="0.4">
      <c r="A177" s="100" t="s">
        <v>206</v>
      </c>
      <c r="B177" s="63"/>
      <c r="C177" s="44">
        <v>12491346.611176167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12491346.611176167</v>
      </c>
      <c r="AD177" s="97"/>
      <c r="AE177" s="44">
        <f t="shared" si="20"/>
        <v>12491.346611176166</v>
      </c>
      <c r="AF177" s="128"/>
      <c r="AG177" s="111"/>
    </row>
    <row r="178" spans="1:33" ht="22.2" customHeight="1" x14ac:dyDescent="0.4">
      <c r="A178" s="100" t="s">
        <v>207</v>
      </c>
      <c r="B178" s="63"/>
      <c r="C178" s="44">
        <v>5063177.8468520027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5063177.8468520027</v>
      </c>
      <c r="AD178" s="97"/>
      <c r="AE178" s="52">
        <f t="shared" si="20"/>
        <v>5063.1778468520024</v>
      </c>
      <c r="AF178" s="128"/>
      <c r="AG178" s="111"/>
    </row>
    <row r="179" spans="1:33" ht="22.2" customHeight="1" x14ac:dyDescent="0.4">
      <c r="A179" s="100" t="s">
        <v>208</v>
      </c>
      <c r="B179" s="63"/>
      <c r="C179" s="44">
        <v>2087935.6278670994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2087935.6278670994</v>
      </c>
      <c r="AD179" s="97"/>
      <c r="AE179" s="52">
        <f t="shared" si="20"/>
        <v>2087.9356278670994</v>
      </c>
      <c r="AF179" s="128"/>
      <c r="AG179" s="111"/>
    </row>
    <row r="180" spans="1:33" ht="22.2" customHeight="1" x14ac:dyDescent="0.4">
      <c r="A180" s="24" t="s">
        <v>209</v>
      </c>
      <c r="B180" s="63"/>
      <c r="C180" s="163">
        <v>126563.95600000001</v>
      </c>
      <c r="D180" s="164">
        <v>89837.808000000005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216401.76400000002</v>
      </c>
      <c r="AD180" s="97"/>
      <c r="AE180" s="37">
        <f t="shared" si="20"/>
        <v>216.40176400000001</v>
      </c>
      <c r="AF180" s="128"/>
      <c r="AG180" s="111"/>
    </row>
    <row r="181" spans="1:33" ht="22.2" customHeight="1" x14ac:dyDescent="0.4">
      <c r="A181" s="24" t="s">
        <v>210</v>
      </c>
      <c r="B181" s="62">
        <f>B182+B183</f>
        <v>1269937.473</v>
      </c>
      <c r="C181" s="62">
        <f>C182+C183</f>
        <v>904771.42299999995</v>
      </c>
      <c r="D181" s="62">
        <f>D182+D183</f>
        <v>199583.56599999999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2374292.4619999998</v>
      </c>
      <c r="AD181" s="97"/>
      <c r="AE181" s="37">
        <f t="shared" si="20"/>
        <v>2374.2924619999999</v>
      </c>
      <c r="AF181" s="128"/>
      <c r="AG181" s="37">
        <f>AG182+AG183</f>
        <v>1479.0108009999999</v>
      </c>
    </row>
    <row r="182" spans="1:33" ht="22.2" customHeight="1" x14ac:dyDescent="0.4">
      <c r="A182" s="100" t="s">
        <v>211</v>
      </c>
      <c r="B182" s="44">
        <v>94797.562999999995</v>
      </c>
      <c r="C182" s="44">
        <v>121.855</v>
      </c>
      <c r="D182" s="44">
        <v>2002.136</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96921.553999999989</v>
      </c>
      <c r="AD182" s="97"/>
      <c r="AE182" s="52">
        <f t="shared" si="20"/>
        <v>96.921553999999986</v>
      </c>
      <c r="AF182" s="128"/>
      <c r="AG182" s="111"/>
    </row>
    <row r="183" spans="1:33" ht="22.2" customHeight="1" x14ac:dyDescent="0.4">
      <c r="A183" s="100" t="s">
        <v>212</v>
      </c>
      <c r="B183" s="44">
        <v>1175139.9099999999</v>
      </c>
      <c r="C183" s="44">
        <v>904649.56799999997</v>
      </c>
      <c r="D183" s="44">
        <v>197581.43</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2277370.9079999998</v>
      </c>
      <c r="AD183" s="97"/>
      <c r="AE183" s="52">
        <f t="shared" si="20"/>
        <v>2277.3709079999999</v>
      </c>
      <c r="AF183" s="128"/>
      <c r="AG183" s="44">
        <v>1479.0108009999999</v>
      </c>
    </row>
    <row r="184" spans="1:33" ht="22.2" customHeight="1" x14ac:dyDescent="0.4">
      <c r="A184" s="20" t="s">
        <v>213</v>
      </c>
      <c r="B184" s="63"/>
      <c r="C184" s="37">
        <f>SUM(C185:C186)</f>
        <v>21224618.398000002</v>
      </c>
      <c r="D184" s="37">
        <f>SUM(D185:D186)</f>
        <v>5292760.7420000006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26517379.140000001</v>
      </c>
      <c r="AD184" s="97"/>
      <c r="AE184" s="37">
        <f t="shared" si="20"/>
        <v>26517.379140000001</v>
      </c>
      <c r="AF184" s="128"/>
      <c r="AG184" s="76"/>
    </row>
    <row r="185" spans="1:33" ht="22.2" customHeight="1" x14ac:dyDescent="0.4">
      <c r="A185" s="100" t="s">
        <v>214</v>
      </c>
      <c r="B185" s="63"/>
      <c r="C185" s="44">
        <v>4283831.5470000003</v>
      </c>
      <c r="D185" s="44">
        <v>2948746.2379999999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7232577.7850000001</v>
      </c>
      <c r="AD185" s="97"/>
      <c r="AE185" s="52">
        <f t="shared" si="20"/>
        <v>7232.5777850000004</v>
      </c>
      <c r="AF185" s="128"/>
      <c r="AG185" s="111"/>
    </row>
    <row r="186" spans="1:33" ht="22.2" customHeight="1" x14ac:dyDescent="0.4">
      <c r="A186" s="100" t="s">
        <v>215</v>
      </c>
      <c r="B186" s="63"/>
      <c r="C186" s="44">
        <v>16940786.851</v>
      </c>
      <c r="D186" s="44">
        <v>2344014.5040000002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19284801.355</v>
      </c>
      <c r="AD186" s="97"/>
      <c r="AE186" s="52">
        <f t="shared" si="20"/>
        <v>19284.801355</v>
      </c>
      <c r="AF186" s="128"/>
      <c r="AG186" s="111"/>
    </row>
    <row r="187" spans="1:33" ht="22.2" customHeight="1" x14ac:dyDescent="0.4">
      <c r="A187" s="20" t="s">
        <v>216</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2"/>
      <c r="AC187" s="125"/>
      <c r="AD187" s="97"/>
      <c r="AE187" s="125">
        <f t="shared" si="20"/>
        <v>0</v>
      </c>
      <c r="AF187" s="128"/>
      <c r="AG187" s="127"/>
    </row>
    <row r="188" spans="1:33" ht="22.2" customHeight="1" x14ac:dyDescent="0.4">
      <c r="A188" s="140" t="s">
        <v>217</v>
      </c>
      <c r="B188" s="137">
        <f t="shared" ref="B188:L188" si="26">B10+B68+B121+B175</f>
        <v>481887821.86558121</v>
      </c>
      <c r="C188" s="137">
        <f t="shared" si="26"/>
        <v>160569990.89423805</v>
      </c>
      <c r="D188" s="137">
        <f t="shared" si="26"/>
        <v>38845281.714037985</v>
      </c>
      <c r="E188" s="137">
        <f t="shared" si="26"/>
        <v>2788160.2120000003</v>
      </c>
      <c r="F188" s="137">
        <f t="shared" si="26"/>
        <v>465280.96299999999</v>
      </c>
      <c r="G188" s="137">
        <f t="shared" si="26"/>
        <v>27214.062000000002</v>
      </c>
      <c r="H188" s="137">
        <f t="shared" si="26"/>
        <v>8669.93</v>
      </c>
      <c r="I188" s="137">
        <f t="shared" si="26"/>
        <v>4386.2759999999998</v>
      </c>
      <c r="J188" s="137">
        <f t="shared" si="26"/>
        <v>5702656.2870000005</v>
      </c>
      <c r="K188" s="137">
        <f t="shared" si="26"/>
        <v>6637771.017</v>
      </c>
      <c r="L188" s="137">
        <f t="shared" si="26"/>
        <v>136488.98699999999</v>
      </c>
      <c r="M188" s="137">
        <f>M175+M121+M68+M10</f>
        <v>464025.04100000003</v>
      </c>
      <c r="N188" s="137">
        <f t="shared" ref="N188:AC188" si="27">N10+N68+N121+N175</f>
        <v>315089.946</v>
      </c>
      <c r="O188" s="137">
        <f t="shared" si="27"/>
        <v>12144.904</v>
      </c>
      <c r="P188" s="137">
        <f t="shared" si="27"/>
        <v>35115.953000000001</v>
      </c>
      <c r="Q188" s="137">
        <f t="shared" si="27"/>
        <v>248.779</v>
      </c>
      <c r="R188" s="137">
        <f t="shared" si="27"/>
        <v>262.42599999999999</v>
      </c>
      <c r="S188" s="137">
        <f t="shared" si="27"/>
        <v>1143939.412</v>
      </c>
      <c r="T188" s="137">
        <f t="shared" si="27"/>
        <v>1.2198186000000002</v>
      </c>
      <c r="U188" s="137">
        <f t="shared" si="27"/>
        <v>19252.432585913848</v>
      </c>
      <c r="V188" s="137">
        <f t="shared" si="27"/>
        <v>1990.1871310344829</v>
      </c>
      <c r="W188" s="137">
        <f t="shared" si="27"/>
        <v>160.36020000000002</v>
      </c>
      <c r="X188" s="137">
        <f t="shared" si="27"/>
        <v>1.8018000000000001E-3</v>
      </c>
      <c r="Y188" s="137">
        <f t="shared" si="27"/>
        <v>57.40022118164061</v>
      </c>
      <c r="Z188" s="137">
        <f t="shared" si="27"/>
        <v>1.2012000000000001E-3</v>
      </c>
      <c r="AA188" s="137">
        <f t="shared" si="27"/>
        <v>1674.6435661942987</v>
      </c>
      <c r="AB188" s="137">
        <f t="shared" si="27"/>
        <v>185862.4687486178</v>
      </c>
      <c r="AC188" s="137">
        <f t="shared" si="27"/>
        <v>699253547.38413167</v>
      </c>
      <c r="AD188" s="97"/>
      <c r="AE188" s="137">
        <f t="shared" si="20"/>
        <v>699253.5473841317</v>
      </c>
      <c r="AF188" s="91"/>
      <c r="AG188" s="147">
        <f>AG175+AG121+AG68+AG10</f>
        <v>72083.444016179492</v>
      </c>
    </row>
    <row r="189" spans="1:33" ht="22.2" customHeight="1" thickBot="1" x14ac:dyDescent="0.45">
      <c r="A189" s="153"/>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82"/>
      <c r="AC189" s="155"/>
      <c r="AD189" s="41"/>
      <c r="AE189" s="155"/>
      <c r="AF189" s="91"/>
      <c r="AG189" s="83"/>
    </row>
    <row r="190" spans="1:33" ht="22.2" customHeight="1" x14ac:dyDescent="0.4">
      <c r="A190" s="16" t="s">
        <v>218</v>
      </c>
      <c r="B190" s="62">
        <f>B191+B192</f>
        <v>4063062.827</v>
      </c>
      <c r="C190" s="62">
        <f>C191+C192</f>
        <v>783.35900000000004</v>
      </c>
      <c r="D190" s="62">
        <f>D191+D192</f>
        <v>29655.751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4093501.9370000004</v>
      </c>
      <c r="AD190" s="41"/>
      <c r="AE190" s="37">
        <f t="shared" si="20"/>
        <v>4093.5019370000005</v>
      </c>
      <c r="AF190" s="91"/>
      <c r="AG190" s="37">
        <f>AG191</f>
        <v>57.479500000000002</v>
      </c>
    </row>
    <row r="191" spans="1:33" ht="22.2" customHeight="1" x14ac:dyDescent="0.4">
      <c r="A191" s="25" t="s">
        <v>219</v>
      </c>
      <c r="B191" s="44">
        <v>4063062.827</v>
      </c>
      <c r="C191" s="44">
        <v>783.35900000000004</v>
      </c>
      <c r="D191" s="44">
        <v>29655.751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4093501.9370000004</v>
      </c>
      <c r="AD191" s="41"/>
      <c r="AE191" s="52">
        <f t="shared" si="20"/>
        <v>4093.5019370000005</v>
      </c>
      <c r="AF191" s="91"/>
      <c r="AG191" s="52">
        <v>57.479500000000002</v>
      </c>
    </row>
    <row r="192" spans="1:33" ht="22.2" customHeight="1" thickBot="1" x14ac:dyDescent="0.45">
      <c r="A192" s="26" t="s">
        <v>220</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6"/>
      <c r="AC192" s="126"/>
      <c r="AD192" s="41"/>
      <c r="AE192" s="126"/>
      <c r="AF192" s="91"/>
      <c r="AG192" s="109"/>
    </row>
    <row r="193" spans="1:33" ht="22.2" customHeight="1" thickBot="1" x14ac:dyDescent="0.45">
      <c r="A193" s="118" t="s">
        <v>221</v>
      </c>
      <c r="B193" s="161">
        <v>26805068</v>
      </c>
      <c r="C193" s="143"/>
      <c r="D193" s="142"/>
      <c r="E193" s="141"/>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8"/>
      <c r="AC193" s="31">
        <f>SUM(B193:AB193)</f>
        <v>26805068</v>
      </c>
      <c r="AE193" s="31">
        <f t="shared" si="20"/>
        <v>26805.067999999999</v>
      </c>
      <c r="AF193" s="91"/>
      <c r="AG193" s="87"/>
    </row>
    <row r="194" spans="1:33" ht="27.6" customHeight="1" thickBot="1" x14ac:dyDescent="0.45">
      <c r="A194" s="88"/>
      <c r="AB194" s="89"/>
    </row>
    <row r="195" spans="1:33" ht="66" customHeight="1" x14ac:dyDescent="0.4">
      <c r="A195" s="17"/>
      <c r="B195" s="146" t="s">
        <v>222</v>
      </c>
      <c r="C195" s="148">
        <v>1</v>
      </c>
      <c r="D195" s="183" t="s">
        <v>223</v>
      </c>
      <c r="E195" s="183"/>
      <c r="F195" s="183"/>
      <c r="G195" s="183"/>
      <c r="H195" s="183"/>
      <c r="I195" s="183"/>
      <c r="J195" s="183"/>
      <c r="K195" s="183"/>
      <c r="L195" s="183"/>
      <c r="M195" s="183"/>
      <c r="N195" s="184"/>
      <c r="AC195" s="90"/>
    </row>
    <row r="196" spans="1:33" ht="37.200000000000003" customHeight="1" x14ac:dyDescent="0.4">
      <c r="B196" s="144"/>
      <c r="C196" s="149">
        <v>2</v>
      </c>
      <c r="D196" s="185" t="s">
        <v>224</v>
      </c>
      <c r="E196" s="185"/>
      <c r="F196" s="185"/>
      <c r="G196" s="185"/>
      <c r="H196" s="185"/>
      <c r="I196" s="185"/>
      <c r="J196" s="185"/>
      <c r="K196" s="185"/>
      <c r="L196" s="185"/>
      <c r="M196" s="185"/>
      <c r="N196" s="186"/>
    </row>
    <row r="197" spans="1:33" ht="42.6" customHeight="1" x14ac:dyDescent="0.4">
      <c r="A197" s="88"/>
      <c r="B197" s="144"/>
      <c r="C197" s="149">
        <v>3</v>
      </c>
      <c r="D197" s="185" t="s">
        <v>225</v>
      </c>
      <c r="E197" s="185"/>
      <c r="F197" s="185"/>
      <c r="G197" s="185"/>
      <c r="H197" s="185"/>
      <c r="I197" s="185"/>
      <c r="J197" s="185"/>
      <c r="K197" s="185"/>
      <c r="L197" s="185"/>
      <c r="M197" s="185"/>
      <c r="N197" s="186"/>
    </row>
    <row r="198" spans="1:33" ht="27.6" customHeight="1" x14ac:dyDescent="0.4">
      <c r="A198" s="88"/>
      <c r="B198" s="144"/>
      <c r="C198" s="149">
        <v>4</v>
      </c>
      <c r="D198" s="185" t="s">
        <v>226</v>
      </c>
      <c r="E198" s="185"/>
      <c r="F198" s="185"/>
      <c r="G198" s="185"/>
      <c r="H198" s="185"/>
      <c r="I198" s="185"/>
      <c r="J198" s="185"/>
      <c r="K198" s="185"/>
      <c r="L198" s="185"/>
      <c r="M198" s="185"/>
      <c r="N198" s="186"/>
    </row>
    <row r="199" spans="1:33" ht="35.25" customHeight="1" thickBot="1" x14ac:dyDescent="0.45">
      <c r="A199" s="88"/>
      <c r="B199" s="145"/>
      <c r="C199" s="150">
        <v>5</v>
      </c>
      <c r="D199" s="187" t="s">
        <v>227</v>
      </c>
      <c r="E199" s="187"/>
      <c r="F199" s="187"/>
      <c r="G199" s="187"/>
      <c r="H199" s="187"/>
      <c r="I199" s="187"/>
      <c r="J199" s="187"/>
      <c r="K199" s="187"/>
      <c r="L199" s="187"/>
      <c r="M199" s="187"/>
      <c r="N199" s="188"/>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D471-4B9F-493F-8ECF-C0F72540DA75}">
  <dimension ref="A1:AG200"/>
  <sheetViews>
    <sheetView zoomScale="110" zoomScaleNormal="110" workbookViewId="0">
      <pane xSplit="1" topLeftCell="Z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6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69"/>
      <c r="B3" s="5">
        <v>2015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70"/>
      <c r="B4" s="171" t="s">
        <v>3</v>
      </c>
      <c r="C4" s="171" t="s">
        <v>4</v>
      </c>
      <c r="D4" s="171" t="s">
        <v>5</v>
      </c>
      <c r="E4" s="165" t="s">
        <v>6</v>
      </c>
      <c r="F4" s="166"/>
      <c r="G4" s="166"/>
      <c r="H4" s="166"/>
      <c r="I4" s="166"/>
      <c r="J4" s="166"/>
      <c r="K4" s="166"/>
      <c r="L4" s="166"/>
      <c r="M4" s="166"/>
      <c r="N4" s="166"/>
      <c r="O4" s="166"/>
      <c r="P4" s="166"/>
      <c r="Q4" s="166"/>
      <c r="R4" s="166"/>
      <c r="S4" s="166"/>
      <c r="T4" s="167"/>
      <c r="U4" s="165" t="s">
        <v>7</v>
      </c>
      <c r="V4" s="166"/>
      <c r="W4" s="166"/>
      <c r="X4" s="166"/>
      <c r="Y4" s="166"/>
      <c r="Z4" s="167"/>
      <c r="AA4" s="173" t="s">
        <v>8</v>
      </c>
      <c r="AB4" s="171" t="s">
        <v>9</v>
      </c>
      <c r="AC4" s="175" t="s">
        <v>10</v>
      </c>
      <c r="AD4" s="91"/>
      <c r="AE4" s="175" t="s">
        <v>11</v>
      </c>
      <c r="AF4" s="91"/>
      <c r="AG4" s="177" t="s">
        <v>12</v>
      </c>
    </row>
    <row r="5" spans="1:33" ht="27.6" customHeight="1" thickBot="1" x14ac:dyDescent="0.45">
      <c r="A5" s="170"/>
      <c r="B5" s="172"/>
      <c r="C5" s="172"/>
      <c r="D5" s="17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74"/>
      <c r="AB5" s="172"/>
      <c r="AC5" s="176"/>
      <c r="AD5" s="91"/>
      <c r="AE5" s="176"/>
      <c r="AF5" s="91"/>
      <c r="AG5" s="178"/>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76"/>
      <c r="AD6" s="92"/>
      <c r="AE6" s="176"/>
      <c r="AF6" s="92"/>
      <c r="AG6" s="179"/>
    </row>
    <row r="7" spans="1:33" ht="27.6" customHeight="1" thickBot="1" x14ac:dyDescent="0.45">
      <c r="A7" s="133" t="s">
        <v>36</v>
      </c>
      <c r="B7" s="134">
        <f>(B10+B68+B121+B175)+(B156+B159+B162+B165+B168)</f>
        <v>540087638.27490032</v>
      </c>
      <c r="C7" s="134">
        <f>C10+C68+C121+C150+C175</f>
        <v>161175739.93000567</v>
      </c>
      <c r="D7" s="134">
        <f>D10+D68+D121+D150+D175</f>
        <v>40570665.098336369</v>
      </c>
      <c r="E7" s="134">
        <f>E68</f>
        <v>1438144.808</v>
      </c>
      <c r="F7" s="134">
        <f t="shared" ref="F7:AB7" si="0">F68</f>
        <v>581833.52099999995</v>
      </c>
      <c r="G7" s="134">
        <f t="shared" si="0"/>
        <v>16441.045999999998</v>
      </c>
      <c r="H7" s="134">
        <f t="shared" si="0"/>
        <v>22094.205000000002</v>
      </c>
      <c r="I7" s="134">
        <f t="shared" si="0"/>
        <v>8989.1149999999998</v>
      </c>
      <c r="J7" s="134">
        <f t="shared" si="0"/>
        <v>5926146.8990000002</v>
      </c>
      <c r="K7" s="134">
        <f t="shared" si="0"/>
        <v>7041197.9890000001</v>
      </c>
      <c r="L7" s="134">
        <f t="shared" si="0"/>
        <v>161816.23199999999</v>
      </c>
      <c r="M7" s="134">
        <f t="shared" si="0"/>
        <v>426185.18699999998</v>
      </c>
      <c r="N7" s="134">
        <f t="shared" si="0"/>
        <v>402047.42</v>
      </c>
      <c r="O7" s="134">
        <f t="shared" si="0"/>
        <v>18260.866999999998</v>
      </c>
      <c r="P7" s="134">
        <f t="shared" si="0"/>
        <v>49746.311000000002</v>
      </c>
      <c r="Q7" s="134">
        <f t="shared" si="0"/>
        <v>8625.2309999999998</v>
      </c>
      <c r="R7" s="134">
        <f t="shared" si="0"/>
        <v>506.73200000000003</v>
      </c>
      <c r="S7" s="134">
        <f t="shared" si="0"/>
        <v>1512472.9080000001</v>
      </c>
      <c r="T7" s="134">
        <f t="shared" si="0"/>
        <v>1.3428972000000001</v>
      </c>
      <c r="U7" s="134">
        <f t="shared" si="0"/>
        <v>21209.63851099394</v>
      </c>
      <c r="V7" s="134">
        <f t="shared" si="0"/>
        <v>2192.2274053448291</v>
      </c>
      <c r="W7" s="134">
        <f t="shared" si="0"/>
        <v>176.54039999999998</v>
      </c>
      <c r="X7" s="134">
        <f t="shared" si="0"/>
        <v>1.9836000000000003E-3</v>
      </c>
      <c r="Y7" s="134">
        <f t="shared" si="0"/>
        <v>63.183557790751713</v>
      </c>
      <c r="Z7" s="134">
        <f t="shared" si="0"/>
        <v>1.3224000000000001E-3</v>
      </c>
      <c r="AA7" s="134">
        <f t="shared" si="0"/>
        <v>1825.5569765327227</v>
      </c>
      <c r="AB7" s="134">
        <f t="shared" si="0"/>
        <v>200840.31520568483</v>
      </c>
      <c r="AC7" s="139">
        <f>SUM(B7:AB7)</f>
        <v>759674860.58250177</v>
      </c>
      <c r="AE7" s="139">
        <f>AC7/1000</f>
        <v>759674.86058250174</v>
      </c>
      <c r="AF7" s="130"/>
      <c r="AG7" s="180">
        <f>AG10+AG68+AG121+AG150+AG175</f>
        <v>70981.249881810028</v>
      </c>
    </row>
    <row r="8" spans="1:33" ht="27.6" customHeight="1" thickBot="1" x14ac:dyDescent="0.45">
      <c r="A8" s="131" t="s">
        <v>37</v>
      </c>
      <c r="B8" s="132">
        <f>(B10+B68+B121+B175)</f>
        <v>522212603.52740031</v>
      </c>
      <c r="C8" s="132">
        <f t="shared" ref="C8:AB8" si="1">(C10+C68+C121+C175)</f>
        <v>161047975.28410566</v>
      </c>
      <c r="D8" s="132">
        <f t="shared" si="1"/>
        <v>40515511.446636371</v>
      </c>
      <c r="E8" s="132">
        <f t="shared" si="1"/>
        <v>1438144.808</v>
      </c>
      <c r="F8" s="132">
        <f t="shared" si="1"/>
        <v>581833.52099999995</v>
      </c>
      <c r="G8" s="132">
        <f t="shared" si="1"/>
        <v>16441.045999999998</v>
      </c>
      <c r="H8" s="132">
        <f t="shared" si="1"/>
        <v>22094.205000000002</v>
      </c>
      <c r="I8" s="132">
        <f t="shared" si="1"/>
        <v>8989.1149999999998</v>
      </c>
      <c r="J8" s="132">
        <f t="shared" si="1"/>
        <v>5926146.8990000002</v>
      </c>
      <c r="K8" s="132">
        <f t="shared" si="1"/>
        <v>7041197.9890000001</v>
      </c>
      <c r="L8" s="132">
        <f t="shared" si="1"/>
        <v>161816.23199999999</v>
      </c>
      <c r="M8" s="132">
        <f t="shared" si="1"/>
        <v>426185.18699999998</v>
      </c>
      <c r="N8" s="132">
        <f t="shared" si="1"/>
        <v>402047.42</v>
      </c>
      <c r="O8" s="132">
        <f t="shared" si="1"/>
        <v>18260.866999999998</v>
      </c>
      <c r="P8" s="132">
        <f t="shared" si="1"/>
        <v>49746.311000000002</v>
      </c>
      <c r="Q8" s="132">
        <f t="shared" si="1"/>
        <v>8625.2309999999998</v>
      </c>
      <c r="R8" s="132">
        <f t="shared" si="1"/>
        <v>506.73200000000003</v>
      </c>
      <c r="S8" s="132">
        <f t="shared" si="1"/>
        <v>1512472.9080000001</v>
      </c>
      <c r="T8" s="132">
        <f t="shared" si="1"/>
        <v>1.3428972000000001</v>
      </c>
      <c r="U8" s="132">
        <f t="shared" si="1"/>
        <v>21209.63851099394</v>
      </c>
      <c r="V8" s="132">
        <f t="shared" si="1"/>
        <v>2192.2274053448291</v>
      </c>
      <c r="W8" s="132">
        <f t="shared" si="1"/>
        <v>176.54039999999998</v>
      </c>
      <c r="X8" s="132">
        <f t="shared" si="1"/>
        <v>1.9836000000000003E-3</v>
      </c>
      <c r="Y8" s="132">
        <f t="shared" si="1"/>
        <v>63.183557790751713</v>
      </c>
      <c r="Z8" s="132">
        <f t="shared" si="1"/>
        <v>1.3224000000000001E-3</v>
      </c>
      <c r="AA8" s="132">
        <f t="shared" si="1"/>
        <v>1825.5569765327227</v>
      </c>
      <c r="AB8" s="132">
        <f t="shared" si="1"/>
        <v>200840.31520568483</v>
      </c>
      <c r="AC8" s="135">
        <f>SUM(B8:AB8)</f>
        <v>741616907.5374018</v>
      </c>
      <c r="AE8" s="135">
        <f>AC8/1000</f>
        <v>741616.90753740177</v>
      </c>
      <c r="AF8" s="130"/>
      <c r="AG8" s="181"/>
    </row>
    <row r="9" spans="1:33" ht="27.6" customHeight="1" thickBot="1" x14ac:dyDescent="0.45">
      <c r="A9" s="136" t="s">
        <v>38</v>
      </c>
      <c r="B9" s="137">
        <f>B10+B68+B121+B150+B175</f>
        <v>333627434.6742003</v>
      </c>
      <c r="C9" s="137">
        <f t="shared" ref="C9:D9" si="2">C10+C68+C121+C150+C175</f>
        <v>161175739.93000567</v>
      </c>
      <c r="D9" s="137">
        <f t="shared" si="2"/>
        <v>40570665.098336369</v>
      </c>
      <c r="E9" s="137">
        <f t="shared" ref="E9:AB9" si="3">E10+E68+E121+E175</f>
        <v>1438144.808</v>
      </c>
      <c r="F9" s="137">
        <f t="shared" si="3"/>
        <v>581833.52099999995</v>
      </c>
      <c r="G9" s="137">
        <f t="shared" si="3"/>
        <v>16441.045999999998</v>
      </c>
      <c r="H9" s="137">
        <f t="shared" si="3"/>
        <v>22094.205000000002</v>
      </c>
      <c r="I9" s="137">
        <f t="shared" si="3"/>
        <v>8989.1149999999998</v>
      </c>
      <c r="J9" s="137">
        <f t="shared" si="3"/>
        <v>5926146.8990000002</v>
      </c>
      <c r="K9" s="137">
        <f t="shared" si="3"/>
        <v>7041197.9890000001</v>
      </c>
      <c r="L9" s="137">
        <f t="shared" si="3"/>
        <v>161816.23199999999</v>
      </c>
      <c r="M9" s="137">
        <f t="shared" si="3"/>
        <v>426185.18699999998</v>
      </c>
      <c r="N9" s="137">
        <f t="shared" si="3"/>
        <v>402047.42</v>
      </c>
      <c r="O9" s="137">
        <f t="shared" si="3"/>
        <v>18260.866999999998</v>
      </c>
      <c r="P9" s="137">
        <f t="shared" si="3"/>
        <v>49746.311000000002</v>
      </c>
      <c r="Q9" s="137">
        <f t="shared" si="3"/>
        <v>8625.2309999999998</v>
      </c>
      <c r="R9" s="137">
        <f t="shared" si="3"/>
        <v>506.73200000000003</v>
      </c>
      <c r="S9" s="137">
        <f t="shared" si="3"/>
        <v>1512472.9080000001</v>
      </c>
      <c r="T9" s="137">
        <f t="shared" si="3"/>
        <v>1.3428972000000001</v>
      </c>
      <c r="U9" s="137">
        <f t="shared" si="3"/>
        <v>21209.63851099394</v>
      </c>
      <c r="V9" s="137">
        <f t="shared" si="3"/>
        <v>2192.2274053448291</v>
      </c>
      <c r="W9" s="137">
        <f t="shared" si="3"/>
        <v>176.54039999999998</v>
      </c>
      <c r="X9" s="137">
        <f t="shared" si="3"/>
        <v>1.9836000000000003E-3</v>
      </c>
      <c r="Y9" s="137">
        <f t="shared" si="3"/>
        <v>63.183557790751713</v>
      </c>
      <c r="Z9" s="137">
        <f t="shared" si="3"/>
        <v>1.3224000000000001E-3</v>
      </c>
      <c r="AA9" s="137">
        <f t="shared" si="3"/>
        <v>1825.5569765327227</v>
      </c>
      <c r="AB9" s="137">
        <f t="shared" si="3"/>
        <v>200840.31520568483</v>
      </c>
      <c r="AC9" s="138">
        <f>SUM(B9:AB9)</f>
        <v>553214656.98180175</v>
      </c>
      <c r="AE9" s="138">
        <f t="shared" ref="AE9:AE72" si="4">AC9/1000</f>
        <v>553214.65698180173</v>
      </c>
      <c r="AF9" s="129"/>
      <c r="AG9" s="182"/>
    </row>
    <row r="10" spans="1:33" ht="22.2" customHeight="1" x14ac:dyDescent="0.4">
      <c r="A10" s="32" t="s">
        <v>39</v>
      </c>
      <c r="B10" s="33">
        <f>B11+B53</f>
        <v>471349312.31554413</v>
      </c>
      <c r="C10" s="33">
        <f>C11+C53</f>
        <v>25013590.716737896</v>
      </c>
      <c r="D10" s="33">
        <f>D11+D53</f>
        <v>3094087.3709498597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499456990.40323198</v>
      </c>
      <c r="AD10" s="41"/>
      <c r="AE10" s="57">
        <f t="shared" si="4"/>
        <v>499456.99040323199</v>
      </c>
      <c r="AF10" s="128"/>
      <c r="AG10" s="36">
        <f>AG11+AG53</f>
        <v>64996.318738810041</v>
      </c>
    </row>
    <row r="11" spans="1:33" ht="22.2" customHeight="1" x14ac:dyDescent="0.4">
      <c r="A11" s="20" t="s">
        <v>40</v>
      </c>
      <c r="B11" s="37">
        <f>B12+B18+B43+B49</f>
        <v>455222604.12554413</v>
      </c>
      <c r="C11" s="37">
        <f>C12+C18+C43+C49</f>
        <v>1112320.0067378948</v>
      </c>
      <c r="D11" s="37">
        <f>D12+D18+D43+D49</f>
        <v>3053473.9809498596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459388398.11323196</v>
      </c>
      <c r="AD11" s="41"/>
      <c r="AE11" s="37">
        <f t="shared" si="4"/>
        <v>459388.39811323193</v>
      </c>
      <c r="AF11" s="128"/>
      <c r="AG11" s="37">
        <f>AG12+AG18+AG43+AG49</f>
        <v>60951.178693422349</v>
      </c>
    </row>
    <row r="12" spans="1:33" ht="22.2" customHeight="1" x14ac:dyDescent="0.4">
      <c r="A12" s="20" t="s">
        <v>41</v>
      </c>
      <c r="B12" s="37">
        <f>B13+B14+B15</f>
        <v>184785993.84168687</v>
      </c>
      <c r="C12" s="37">
        <f>C13+C14+C15</f>
        <v>155992.31105353302</v>
      </c>
      <c r="D12" s="37">
        <f>D13+D14+D15</f>
        <v>318276.484205805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185260262.63694623</v>
      </c>
      <c r="AD12" s="41"/>
      <c r="AE12" s="37">
        <f t="shared" si="4"/>
        <v>185260.26263694622</v>
      </c>
      <c r="AF12" s="128"/>
      <c r="AG12" s="37">
        <f>SUM(AG13:AG15)</f>
        <v>7817.4602073725046</v>
      </c>
    </row>
    <row r="13" spans="1:33" ht="22.2" customHeight="1" x14ac:dyDescent="0.4">
      <c r="A13" s="21" t="s">
        <v>42</v>
      </c>
      <c r="B13" s="44">
        <v>145429650.79601899</v>
      </c>
      <c r="C13" s="44">
        <v>132351.24156553301</v>
      </c>
      <c r="D13" s="44">
        <v>287326.455302305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145849328.49288681</v>
      </c>
      <c r="AD13" s="41"/>
      <c r="AE13" s="52">
        <f t="shared" si="4"/>
        <v>145849.32849288682</v>
      </c>
      <c r="AF13" s="128"/>
      <c r="AG13" s="44">
        <v>6642.8531044354304</v>
      </c>
    </row>
    <row r="14" spans="1:33" ht="22.2" customHeight="1" x14ac:dyDescent="0.4">
      <c r="A14" s="21" t="s">
        <v>43</v>
      </c>
      <c r="B14" s="44">
        <v>11796920.8106796</v>
      </c>
      <c r="C14" s="44">
        <v>7707.2327566464101</v>
      </c>
      <c r="D14" s="44">
        <v>10769.3864825404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11815397.429918787</v>
      </c>
      <c r="AD14" s="41"/>
      <c r="AE14" s="52">
        <f t="shared" si="4"/>
        <v>11815.397429918787</v>
      </c>
      <c r="AF14" s="128"/>
      <c r="AG14" s="44">
        <v>869.32620328603798</v>
      </c>
    </row>
    <row r="15" spans="1:33" ht="22.2" customHeight="1" x14ac:dyDescent="0.4">
      <c r="A15" s="21" t="s">
        <v>44</v>
      </c>
      <c r="B15" s="49">
        <f>B16+B17</f>
        <v>27559422.234988302</v>
      </c>
      <c r="C15" s="49">
        <f t="shared" ref="C15:D15" si="5">C16+C17</f>
        <v>15933.8367313536</v>
      </c>
      <c r="D15" s="49">
        <f t="shared" si="5"/>
        <v>20180.642420959601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27595536.714140613</v>
      </c>
      <c r="AD15" s="41"/>
      <c r="AE15" s="52">
        <f t="shared" si="4"/>
        <v>27595.536714140613</v>
      </c>
      <c r="AF15" s="128"/>
      <c r="AG15" s="44">
        <v>305.28089965103698</v>
      </c>
    </row>
    <row r="16" spans="1:33" ht="22.2" customHeight="1" x14ac:dyDescent="0.4">
      <c r="A16" s="98" t="s">
        <v>45</v>
      </c>
      <c r="B16" s="44">
        <v>1136683.73</v>
      </c>
      <c r="C16" s="44">
        <v>5.6829999999999998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1136689.4129999999</v>
      </c>
      <c r="AD16" s="41"/>
      <c r="AE16" s="52">
        <f t="shared" si="4"/>
        <v>1136.6894129999998</v>
      </c>
      <c r="AF16" s="128"/>
      <c r="AG16" s="73"/>
    </row>
    <row r="17" spans="1:33" ht="22.2" customHeight="1" x14ac:dyDescent="0.4">
      <c r="A17" s="99" t="s">
        <v>46</v>
      </c>
      <c r="B17" s="44">
        <v>26422738.504988302</v>
      </c>
      <c r="C17" s="44">
        <v>15928.153731353599</v>
      </c>
      <c r="D17" s="44">
        <v>20180.642420959601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26458847.301140614</v>
      </c>
      <c r="AD17" s="41"/>
      <c r="AE17" s="52">
        <f t="shared" si="4"/>
        <v>26458.847301140613</v>
      </c>
      <c r="AF17" s="128"/>
      <c r="AG17" s="44">
        <v>305.28089965103698</v>
      </c>
    </row>
    <row r="18" spans="1:33" ht="22.2" customHeight="1" x14ac:dyDescent="0.4">
      <c r="A18" s="20" t="s">
        <v>47</v>
      </c>
      <c r="B18" s="37">
        <f>B19+B20+B21+B25+B26+B33+B35+B37+B39</f>
        <v>66696729.325857311</v>
      </c>
      <c r="C18" s="37">
        <f>C19+C20+C21+C25+C26+C33+C35+C37+C39</f>
        <v>113871.75598436182</v>
      </c>
      <c r="D18" s="37">
        <f>D19+D20+D21+D25+D26+D33+D35+D37+D39</f>
        <v>153744.85254405474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66964345.934385724</v>
      </c>
      <c r="AD18" s="110"/>
      <c r="AE18" s="37">
        <f t="shared" si="4"/>
        <v>66964.345934385725</v>
      </c>
      <c r="AF18" s="128"/>
      <c r="AG18" s="37">
        <f>SUM(AG19,AG20,AG21,AG25,AG26,AG32,AG33,AG34,AG35,AG36,AG37,AG38,AG39)</f>
        <v>794.06484856983866</v>
      </c>
    </row>
    <row r="19" spans="1:33" ht="22.2" customHeight="1" x14ac:dyDescent="0.4">
      <c r="A19" s="100" t="s">
        <v>48</v>
      </c>
      <c r="B19" s="44">
        <v>4286950.490822562</v>
      </c>
      <c r="C19" s="44">
        <v>2179.0693598426642</v>
      </c>
      <c r="D19" s="44">
        <v>2235.6883581054308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4291365.2485405104</v>
      </c>
      <c r="AD19" s="110"/>
      <c r="AE19" s="44">
        <f t="shared" si="4"/>
        <v>4291.36524854051</v>
      </c>
      <c r="AF19" s="128"/>
      <c r="AG19" s="44">
        <v>18.909329593531503</v>
      </c>
    </row>
    <row r="20" spans="1:33" ht="22.2" customHeight="1" x14ac:dyDescent="0.4">
      <c r="A20" s="100" t="s">
        <v>49</v>
      </c>
      <c r="B20" s="44">
        <v>1537646.3438907666</v>
      </c>
      <c r="C20" s="44">
        <v>1001.6458171623692</v>
      </c>
      <c r="D20" s="44">
        <v>1421.6232712180272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1540069.6129791471</v>
      </c>
      <c r="AD20" s="110"/>
      <c r="AE20" s="52">
        <f t="shared" si="4"/>
        <v>1540.0696129791472</v>
      </c>
      <c r="AF20" s="128"/>
      <c r="AG20" s="44">
        <v>12.350916618242728</v>
      </c>
    </row>
    <row r="21" spans="1:33" ht="22.2" customHeight="1" x14ac:dyDescent="0.4">
      <c r="A21" s="100" t="s">
        <v>50</v>
      </c>
      <c r="B21" s="44">
        <f>SUM(B22:B24)</f>
        <v>4651278.2652370557</v>
      </c>
      <c r="C21" s="44">
        <f>SUM(C22:C24)</f>
        <v>2536.1278738204965</v>
      </c>
      <c r="D21" s="44">
        <f>SUM(D22:D24)</f>
        <v>2873.635225009381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4656688.0283358851</v>
      </c>
      <c r="AD21" s="110"/>
      <c r="AE21" s="52">
        <f t="shared" si="4"/>
        <v>4656.6880283358851</v>
      </c>
      <c r="AF21" s="128"/>
      <c r="AG21" s="44">
        <v>20.449177698557548</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4618036.7463646559</v>
      </c>
      <c r="C23" s="44">
        <v>2512.3874578204964</v>
      </c>
      <c r="D23" s="44">
        <v>2838.7146910093811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4623387.8485134859</v>
      </c>
      <c r="AD23" s="110"/>
      <c r="AE23" s="52">
        <f t="shared" si="4"/>
        <v>4623.3878485134856</v>
      </c>
      <c r="AF23" s="128"/>
      <c r="AG23" s="44">
        <v>20.33769355043016</v>
      </c>
    </row>
    <row r="24" spans="1:33" ht="22.2" customHeight="1" x14ac:dyDescent="0.4">
      <c r="A24" s="99" t="s">
        <v>53</v>
      </c>
      <c r="B24" s="44">
        <v>33241.518872400004</v>
      </c>
      <c r="C24" s="44">
        <v>23.740416</v>
      </c>
      <c r="D24" s="44">
        <v>34.920533999999996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33300.179822400001</v>
      </c>
      <c r="AD24" s="110"/>
      <c r="AE24" s="52">
        <f t="shared" si="4"/>
        <v>33.300179822400004</v>
      </c>
      <c r="AF24" s="128"/>
      <c r="AG24" s="44">
        <v>0.11148414812739015</v>
      </c>
    </row>
    <row r="25" spans="1:33" ht="22.2" customHeight="1" x14ac:dyDescent="0.4">
      <c r="A25" s="100" t="s">
        <v>54</v>
      </c>
      <c r="B25" s="44">
        <v>2365725.5840098485</v>
      </c>
      <c r="C25" s="44">
        <v>1433.5969466185593</v>
      </c>
      <c r="D25" s="44">
        <v>1853.2094326247479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2369012.3903890918</v>
      </c>
      <c r="AD25" s="110"/>
      <c r="AE25" s="52">
        <f t="shared" si="4"/>
        <v>2369.0123903890917</v>
      </c>
      <c r="AF25" s="128"/>
      <c r="AG25" s="44">
        <v>26.728224587134406</v>
      </c>
    </row>
    <row r="26" spans="1:33" ht="22.2" customHeight="1" x14ac:dyDescent="0.4">
      <c r="A26" s="100" t="s">
        <v>55</v>
      </c>
      <c r="B26" s="44">
        <f>SUM(B27:B31)</f>
        <v>558038.26406945812</v>
      </c>
      <c r="C26" s="44">
        <f>SUM(C27:C31)</f>
        <v>31933.133595649997</v>
      </c>
      <c r="D26" s="44">
        <f>SUM(D27:D31)</f>
        <v>40522.990212946133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630494.38787805417</v>
      </c>
      <c r="AD26" s="110"/>
      <c r="AE26" s="52">
        <f t="shared" si="4"/>
        <v>630.49438787805423</v>
      </c>
      <c r="AF26" s="128"/>
      <c r="AG26" s="44">
        <v>414.05661100660012</v>
      </c>
    </row>
    <row r="27" spans="1:33" ht="22.2" customHeight="1" x14ac:dyDescent="0.4">
      <c r="A27" s="99" t="s">
        <v>56</v>
      </c>
      <c r="B27" s="44">
        <v>0</v>
      </c>
      <c r="C27" s="44">
        <v>31437.145165644113</v>
      </c>
      <c r="D27" s="44">
        <v>39670.683185217575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71107.828350861688</v>
      </c>
      <c r="AD27" s="110"/>
      <c r="AE27" s="52">
        <f t="shared" si="4"/>
        <v>71.107828350861695</v>
      </c>
      <c r="AF27" s="128"/>
      <c r="AG27" s="44">
        <v>408.30863542521109</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502221.78842217335</v>
      </c>
      <c r="C29" s="44">
        <v>436.90574258770766</v>
      </c>
      <c r="D29" s="44">
        <v>740.47194082986618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503399.16610559094</v>
      </c>
      <c r="AD29" s="110"/>
      <c r="AE29" s="52">
        <f t="shared" si="4"/>
        <v>503.39916610559095</v>
      </c>
      <c r="AF29" s="128"/>
      <c r="AG29" s="44">
        <v>2.7377312441847881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55816.475647284729</v>
      </c>
      <c r="C31" s="44">
        <v>59.082687418176455</v>
      </c>
      <c r="D31" s="44">
        <v>111.83508689869115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55987.393421601591</v>
      </c>
      <c r="AD31" s="110"/>
      <c r="AE31" s="52">
        <f t="shared" si="4"/>
        <v>55.987393421601588</v>
      </c>
      <c r="AF31" s="128"/>
      <c r="AG31" s="44">
        <v>3.0102443372042598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449921.57830173738</v>
      </c>
      <c r="C33" s="44">
        <v>263.7929559870185</v>
      </c>
      <c r="D33" s="44">
        <v>328.49536156652545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450513.86661929096</v>
      </c>
      <c r="AD33" s="110"/>
      <c r="AE33" s="52">
        <f t="shared" si="4"/>
        <v>450.51386661929098</v>
      </c>
      <c r="AF33" s="128"/>
      <c r="AG33" s="44">
        <v>1.3425421534907531</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9292397.4693946913</v>
      </c>
      <c r="C35" s="44">
        <v>11342.232422767482</v>
      </c>
      <c r="D35" s="44">
        <v>18537.208516678365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9322276.9103341363</v>
      </c>
      <c r="AD35" s="110"/>
      <c r="AE35" s="52">
        <f t="shared" si="4"/>
        <v>9322.2769103341361</v>
      </c>
      <c r="AF35" s="128"/>
      <c r="AG35" s="44">
        <v>54.189727491475395</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403740.12447808165</v>
      </c>
      <c r="C37" s="44">
        <v>465.52933422884695</v>
      </c>
      <c r="D37" s="44">
        <v>881.18052550460311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405086.83433781506</v>
      </c>
      <c r="AD37" s="110"/>
      <c r="AE37" s="52">
        <f t="shared" si="4"/>
        <v>405.08683433781505</v>
      </c>
      <c r="AF37" s="128"/>
      <c r="AG37" s="44">
        <v>1.789049740746917</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43151031.205653109</v>
      </c>
      <c r="C39" s="44">
        <f>SUM(C40:C42)</f>
        <v>62716.627678284385</v>
      </c>
      <c r="D39" s="44">
        <f>SUM(D40:D42)</f>
        <v>85090.821640401526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43298838.654971793</v>
      </c>
      <c r="AD39" s="110"/>
      <c r="AE39" s="52">
        <f t="shared" si="4"/>
        <v>43298.838654971791</v>
      </c>
      <c r="AF39" s="128"/>
      <c r="AG39" s="44">
        <v>244.24926968005934</v>
      </c>
    </row>
    <row r="40" spans="1:33" ht="22.2" customHeight="1" x14ac:dyDescent="0.4">
      <c r="A40" s="99" t="s">
        <v>69</v>
      </c>
      <c r="B40" s="44">
        <v>3192241.9774414203</v>
      </c>
      <c r="C40" s="44">
        <v>1603.3106319999999</v>
      </c>
      <c r="D40" s="44">
        <v>1614.9882280000002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3195460.2763014203</v>
      </c>
      <c r="AD40" s="110"/>
      <c r="AE40" s="52">
        <f t="shared" si="4"/>
        <v>3195.4602763014204</v>
      </c>
      <c r="AF40" s="128"/>
      <c r="AG40" s="44">
        <v>13.272719281440544</v>
      </c>
    </row>
    <row r="41" spans="1:33" ht="22.2" customHeight="1" x14ac:dyDescent="0.4">
      <c r="A41" s="99" t="s">
        <v>70</v>
      </c>
      <c r="B41" s="44">
        <v>558965.84264911874</v>
      </c>
      <c r="C41" s="44">
        <v>405.59864155493773</v>
      </c>
      <c r="D41" s="44">
        <v>607.25710524427438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559978.69839591801</v>
      </c>
      <c r="AD41" s="110"/>
      <c r="AE41" s="52">
        <f t="shared" si="4"/>
        <v>559.97869839591806</v>
      </c>
      <c r="AF41" s="128"/>
      <c r="AG41" s="44">
        <v>4.5173983251405199</v>
      </c>
    </row>
    <row r="42" spans="1:33" ht="22.2" customHeight="1" x14ac:dyDescent="0.4">
      <c r="A42" s="99" t="s">
        <v>71</v>
      </c>
      <c r="B42" s="44">
        <v>39399823.385562569</v>
      </c>
      <c r="C42" s="44">
        <v>60707.71840472945</v>
      </c>
      <c r="D42" s="44">
        <v>82868.576307157244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39543399.680274457</v>
      </c>
      <c r="AD42" s="110"/>
      <c r="AE42" s="52">
        <f t="shared" si="4"/>
        <v>39543.399680274459</v>
      </c>
      <c r="AF42" s="128"/>
      <c r="AG42" s="44">
        <v>226.45915207347826</v>
      </c>
    </row>
    <row r="43" spans="1:33" ht="22.2" customHeight="1" x14ac:dyDescent="0.4">
      <c r="A43" s="20" t="s">
        <v>72</v>
      </c>
      <c r="B43" s="37">
        <f>SUM(B44:B48)</f>
        <v>170357758.37799999</v>
      </c>
      <c r="C43" s="37">
        <f>SUM(C44:C48)</f>
        <v>475987.15970000002</v>
      </c>
      <c r="D43" s="37">
        <f>SUM(D44:D48)</f>
        <v>2200687.8242000001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173034433.3619</v>
      </c>
      <c r="AD43" s="41"/>
      <c r="AE43" s="37">
        <f t="shared" si="4"/>
        <v>173034.43336190001</v>
      </c>
      <c r="AF43" s="128"/>
      <c r="AG43" s="37">
        <f>SUM(AG44:AG48)</f>
        <v>14818.213637480001</v>
      </c>
    </row>
    <row r="44" spans="1:33" ht="22.2" customHeight="1" x14ac:dyDescent="0.4">
      <c r="A44" s="100" t="s">
        <v>73</v>
      </c>
      <c r="B44" s="44">
        <v>6034204.8059999999</v>
      </c>
      <c r="C44" s="44">
        <v>1163.3960999999999</v>
      </c>
      <c r="D44" s="44">
        <v>44042.852200000001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6079411.054299999</v>
      </c>
      <c r="AD44" s="41"/>
      <c r="AE44" s="52">
        <f t="shared" si="4"/>
        <v>6079.4110542999988</v>
      </c>
      <c r="AF44" s="128"/>
      <c r="AG44" s="44">
        <v>85.364937479999995</v>
      </c>
    </row>
    <row r="45" spans="1:33" ht="22.2" customHeight="1" x14ac:dyDescent="0.4">
      <c r="A45" s="100" t="s">
        <v>74</v>
      </c>
      <c r="B45" s="44">
        <v>159396855.34</v>
      </c>
      <c r="C45" s="44">
        <v>464055.85830000002</v>
      </c>
      <c r="D45" s="44">
        <v>1903914.4287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161764825.627</v>
      </c>
      <c r="AD45" s="41"/>
      <c r="AE45" s="52">
        <f t="shared" si="4"/>
        <v>161764.82562700001</v>
      </c>
      <c r="AF45" s="128"/>
      <c r="AG45" s="44">
        <v>14579.1</v>
      </c>
    </row>
    <row r="46" spans="1:33" ht="22.2" customHeight="1" x14ac:dyDescent="0.4">
      <c r="A46" s="100" t="s">
        <v>75</v>
      </c>
      <c r="B46" s="44">
        <v>2242378.34</v>
      </c>
      <c r="C46" s="44">
        <v>3576.69</v>
      </c>
      <c r="D46" s="44">
        <v>233284.91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2479239.94</v>
      </c>
      <c r="AD46" s="41"/>
      <c r="AE46" s="52">
        <f t="shared" si="4"/>
        <v>2479.2399399999999</v>
      </c>
      <c r="AF46" s="128"/>
      <c r="AG46" s="44">
        <v>52.88</v>
      </c>
    </row>
    <row r="47" spans="1:33" ht="22.2" customHeight="1" x14ac:dyDescent="0.4">
      <c r="A47" s="100" t="s">
        <v>76</v>
      </c>
      <c r="B47" s="44">
        <v>2684319.892</v>
      </c>
      <c r="C47" s="44">
        <v>7191.2152999999998</v>
      </c>
      <c r="D47" s="44">
        <v>19445.633300000001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2710956.7405999997</v>
      </c>
      <c r="AD47" s="41"/>
      <c r="AE47" s="52">
        <f t="shared" si="4"/>
        <v>2710.9567405999996</v>
      </c>
      <c r="AF47" s="128"/>
      <c r="AG47" s="44">
        <v>100.8687</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33382122.580000002</v>
      </c>
      <c r="C49" s="37">
        <f>SUM(C50:C52)</f>
        <v>366468.78</v>
      </c>
      <c r="D49" s="37">
        <f>SUM(D50:D52)</f>
        <v>380764.82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34129356.180000007</v>
      </c>
      <c r="AD49" s="41"/>
      <c r="AE49" s="37">
        <f t="shared" si="4"/>
        <v>34129.35618000001</v>
      </c>
      <c r="AF49" s="128"/>
      <c r="AG49" s="37">
        <f>SUM(AG50:AG52)</f>
        <v>37521.440000000002</v>
      </c>
    </row>
    <row r="50" spans="1:33" ht="22.2" customHeight="1" x14ac:dyDescent="0.4">
      <c r="A50" s="100" t="s">
        <v>79</v>
      </c>
      <c r="B50" s="44">
        <v>5184284.59</v>
      </c>
      <c r="C50" s="44">
        <v>12009.01</v>
      </c>
      <c r="D50" s="44">
        <v>2827.36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5199120.96</v>
      </c>
      <c r="AD50" s="41"/>
      <c r="AE50" s="52">
        <f t="shared" si="4"/>
        <v>5199.1209600000002</v>
      </c>
      <c r="AF50" s="128"/>
      <c r="AG50" s="44">
        <v>2326.71</v>
      </c>
    </row>
    <row r="51" spans="1:33" ht="22.2" customHeight="1" x14ac:dyDescent="0.4">
      <c r="A51" s="100" t="s">
        <v>80</v>
      </c>
      <c r="B51" s="44">
        <v>17890251.780000001</v>
      </c>
      <c r="C51" s="44">
        <v>315387.77</v>
      </c>
      <c r="D51" s="44">
        <v>356012.37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18561651.920000002</v>
      </c>
      <c r="AD51" s="41"/>
      <c r="AE51" s="52">
        <f t="shared" si="4"/>
        <v>18561.65192</v>
      </c>
      <c r="AF51" s="128"/>
      <c r="AG51" s="44">
        <v>34939.050000000003</v>
      </c>
    </row>
    <row r="52" spans="1:33" ht="22.2" customHeight="1" x14ac:dyDescent="0.4">
      <c r="A52" s="100" t="s">
        <v>81</v>
      </c>
      <c r="B52" s="44">
        <v>10307586.210000001</v>
      </c>
      <c r="C52" s="44">
        <v>39072</v>
      </c>
      <c r="D52" s="44">
        <v>21925.09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10368583.300000001</v>
      </c>
      <c r="AD52" s="41"/>
      <c r="AE52" s="52">
        <f t="shared" si="4"/>
        <v>10368.5833</v>
      </c>
      <c r="AF52" s="128"/>
      <c r="AG52" s="44">
        <v>255.68</v>
      </c>
    </row>
    <row r="53" spans="1:33" ht="22.2" customHeight="1" x14ac:dyDescent="0.4">
      <c r="A53" s="13" t="s">
        <v>82</v>
      </c>
      <c r="B53" s="37">
        <f>B54+B59</f>
        <v>16126708.189999999</v>
      </c>
      <c r="C53" s="37">
        <f>C54+C59</f>
        <v>23901270.710000001</v>
      </c>
      <c r="D53" s="37">
        <f>D54+D59</f>
        <v>40613.39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40068592.289999999</v>
      </c>
      <c r="AD53" s="41"/>
      <c r="AE53" s="37">
        <f t="shared" si="4"/>
        <v>40068.592290000001</v>
      </c>
      <c r="AF53" s="128"/>
      <c r="AG53" s="37">
        <f>AG54+AG59</f>
        <v>4045.14004538769</v>
      </c>
    </row>
    <row r="54" spans="1:33" ht="22.2" customHeight="1" x14ac:dyDescent="0.4">
      <c r="A54" s="20" t="s">
        <v>83</v>
      </c>
      <c r="B54" s="37">
        <f>B55+B58</f>
        <v>81963.95</v>
      </c>
      <c r="C54" s="37">
        <f>C55+C58</f>
        <v>2882914.43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2964878.3800000004</v>
      </c>
      <c r="AD54" s="41"/>
      <c r="AE54" s="37">
        <f t="shared" si="4"/>
        <v>2964.8783800000006</v>
      </c>
      <c r="AF54" s="128"/>
      <c r="AG54" s="76"/>
    </row>
    <row r="55" spans="1:33" ht="22.2" customHeight="1" x14ac:dyDescent="0.4">
      <c r="A55" s="101" t="s">
        <v>84</v>
      </c>
      <c r="B55" s="52">
        <f>B56+B57</f>
        <v>81963.95</v>
      </c>
      <c r="C55" s="52">
        <f>C56+C57</f>
        <v>2882914.43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2964878.3800000004</v>
      </c>
      <c r="AD55" s="41"/>
      <c r="AE55" s="44">
        <f t="shared" si="4"/>
        <v>2964.8783800000006</v>
      </c>
      <c r="AF55" s="128"/>
      <c r="AG55" s="73"/>
    </row>
    <row r="56" spans="1:33" ht="22.2" customHeight="1" x14ac:dyDescent="0.4">
      <c r="A56" s="100" t="s">
        <v>85</v>
      </c>
      <c r="B56" s="44">
        <v>78058.75</v>
      </c>
      <c r="C56" s="44">
        <v>2765275.96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2843334.71</v>
      </c>
      <c r="AD56" s="41"/>
      <c r="AE56" s="52">
        <f t="shared" si="4"/>
        <v>2843.3347100000001</v>
      </c>
      <c r="AF56" s="128"/>
      <c r="AG56" s="73"/>
    </row>
    <row r="57" spans="1:33" ht="22.2" customHeight="1" x14ac:dyDescent="0.4">
      <c r="A57" s="100" t="s">
        <v>86</v>
      </c>
      <c r="B57" s="44">
        <v>3905.2</v>
      </c>
      <c r="C57" s="44">
        <v>117638.47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121543.67</v>
      </c>
      <c r="AD57" s="41"/>
      <c r="AE57" s="52">
        <f t="shared" si="4"/>
        <v>121.54366999999999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16044744.24</v>
      </c>
      <c r="C59" s="37">
        <f t="shared" ref="C59:D59" si="8">C60+C64</f>
        <v>21018356.280000001</v>
      </c>
      <c r="D59" s="37">
        <f t="shared" si="8"/>
        <v>40613.39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37103713.909999996</v>
      </c>
      <c r="AD59" s="41"/>
      <c r="AE59" s="37">
        <f t="shared" si="4"/>
        <v>37103.713909999999</v>
      </c>
      <c r="AF59" s="128"/>
      <c r="AG59" s="53">
        <f>SUM(AG60:AG66)</f>
        <v>4045.14004538769</v>
      </c>
    </row>
    <row r="60" spans="1:33" ht="22.2" customHeight="1" x14ac:dyDescent="0.4">
      <c r="A60" s="100" t="s">
        <v>89</v>
      </c>
      <c r="B60" s="49">
        <f>SUM(B61,B62,B63)</f>
        <v>13590993.540000001</v>
      </c>
      <c r="C60" s="49">
        <f t="shared" ref="C60:D60" si="9">SUM(C61,C62,C63)</f>
        <v>14015091.289999999</v>
      </c>
      <c r="D60" s="49">
        <f t="shared" si="9"/>
        <v>40539.1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27646623.93</v>
      </c>
      <c r="AD60" s="41"/>
      <c r="AE60" s="52">
        <f t="shared" si="4"/>
        <v>27646.623929999998</v>
      </c>
      <c r="AF60" s="128"/>
      <c r="AG60" s="111"/>
    </row>
    <row r="61" spans="1:33" ht="22.2" customHeight="1" x14ac:dyDescent="0.4">
      <c r="A61" s="102" t="s">
        <v>90</v>
      </c>
      <c r="B61" s="44">
        <v>5128296.7300000004</v>
      </c>
      <c r="C61" s="44">
        <v>5061406.66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10189703.390000001</v>
      </c>
      <c r="AD61" s="41"/>
      <c r="AE61" s="52">
        <f t="shared" si="4"/>
        <v>10189.703390000001</v>
      </c>
      <c r="AF61" s="128"/>
      <c r="AG61" s="109"/>
    </row>
    <row r="62" spans="1:33" ht="22.2" customHeight="1" x14ac:dyDescent="0.4">
      <c r="A62" s="102" t="s">
        <v>91</v>
      </c>
      <c r="B62" s="44">
        <v>8426405.6600000001</v>
      </c>
      <c r="C62" s="44">
        <v>8819134.7599999998</v>
      </c>
      <c r="D62" s="44">
        <v>40539.1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17286079.520000003</v>
      </c>
      <c r="AD62" s="41"/>
      <c r="AE62" s="52">
        <f t="shared" si="4"/>
        <v>17286.079520000003</v>
      </c>
      <c r="AF62" s="128"/>
      <c r="AG62" s="44">
        <v>4045.14004538769</v>
      </c>
    </row>
    <row r="63" spans="1:33" ht="22.2" customHeight="1" x14ac:dyDescent="0.4">
      <c r="A63" s="102" t="s">
        <v>92</v>
      </c>
      <c r="B63" s="44">
        <v>36291.15</v>
      </c>
      <c r="C63" s="44">
        <v>134549.87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170841.02</v>
      </c>
      <c r="AD63" s="41"/>
      <c r="AE63" s="52">
        <f t="shared" si="4"/>
        <v>170.84101999999999</v>
      </c>
      <c r="AF63" s="128"/>
      <c r="AG63" s="109"/>
    </row>
    <row r="64" spans="1:33" ht="22.2" customHeight="1" x14ac:dyDescent="0.4">
      <c r="A64" s="103" t="s">
        <v>93</v>
      </c>
      <c r="B64" s="49">
        <f>SUM(B65,B66,B67)</f>
        <v>2453750.6999999997</v>
      </c>
      <c r="C64" s="49">
        <f t="shared" ref="C64:D64" si="11">SUM(C65,C66,C67)</f>
        <v>7003264.9900000002</v>
      </c>
      <c r="D64" s="49">
        <f t="shared" si="11"/>
        <v>74.290000000000006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9457089.9799999986</v>
      </c>
      <c r="AD64" s="41"/>
      <c r="AE64" s="52">
        <f t="shared" si="4"/>
        <v>9457.0899799999988</v>
      </c>
      <c r="AF64" s="128"/>
      <c r="AG64" s="109"/>
    </row>
    <row r="65" spans="1:33" ht="22.2" customHeight="1" x14ac:dyDescent="0.4">
      <c r="A65" s="102" t="s">
        <v>94</v>
      </c>
      <c r="B65" s="44">
        <v>2101286.84</v>
      </c>
      <c r="C65" s="44">
        <v>3123892.29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5225179.13</v>
      </c>
      <c r="AD65" s="41"/>
      <c r="AE65" s="52">
        <f t="shared" si="4"/>
        <v>5225.1791299999995</v>
      </c>
      <c r="AF65" s="128"/>
      <c r="AG65" s="112"/>
    </row>
    <row r="66" spans="1:33" ht="22.2" customHeight="1" x14ac:dyDescent="0.4">
      <c r="A66" s="102" t="s">
        <v>95</v>
      </c>
      <c r="B66" s="44">
        <v>347647.6</v>
      </c>
      <c r="C66" s="44">
        <v>160977.04</v>
      </c>
      <c r="D66" s="44">
        <v>74.290000000000006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508698.93</v>
      </c>
      <c r="AD66" s="41"/>
      <c r="AE66" s="52">
        <f t="shared" si="4"/>
        <v>508.69893000000002</v>
      </c>
      <c r="AF66" s="128"/>
      <c r="AG66" s="112"/>
    </row>
    <row r="67" spans="1:33" ht="22.2" customHeight="1" thickBot="1" x14ac:dyDescent="0.45">
      <c r="A67" s="102" t="s">
        <v>96</v>
      </c>
      <c r="B67" s="44">
        <v>4816.26</v>
      </c>
      <c r="C67" s="44">
        <v>3718395.66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3723211.92</v>
      </c>
      <c r="AD67" s="41"/>
      <c r="AE67" s="116">
        <f t="shared" si="4"/>
        <v>3723.2119199999997</v>
      </c>
      <c r="AF67" s="128"/>
      <c r="AG67" s="112"/>
    </row>
    <row r="68" spans="1:33" ht="22.2" customHeight="1" x14ac:dyDescent="0.4">
      <c r="A68" s="12" t="s">
        <v>97</v>
      </c>
      <c r="B68" s="33">
        <f>B69+B75+B86+B94+B99+B105+B112+B117</f>
        <v>48220997.142856203</v>
      </c>
      <c r="C68" s="33">
        <f t="shared" ref="C68:AC68" si="12">C69+C75+C86+C94+C99+C105+C112+C117</f>
        <v>185000.93225671083</v>
      </c>
      <c r="D68" s="33">
        <f t="shared" si="12"/>
        <v>704305.83512750617</v>
      </c>
      <c r="E68" s="34">
        <f t="shared" si="12"/>
        <v>1438144.808</v>
      </c>
      <c r="F68" s="34">
        <f t="shared" si="12"/>
        <v>581833.52099999995</v>
      </c>
      <c r="G68" s="34">
        <f t="shared" si="12"/>
        <v>16441.045999999998</v>
      </c>
      <c r="H68" s="34">
        <f t="shared" si="12"/>
        <v>22094.205000000002</v>
      </c>
      <c r="I68" s="34">
        <f t="shared" si="12"/>
        <v>8989.1149999999998</v>
      </c>
      <c r="J68" s="34">
        <f t="shared" si="12"/>
        <v>5926146.8990000002</v>
      </c>
      <c r="K68" s="34">
        <f t="shared" si="12"/>
        <v>7041197.9890000001</v>
      </c>
      <c r="L68" s="34">
        <f t="shared" si="12"/>
        <v>161816.23199999999</v>
      </c>
      <c r="M68" s="34">
        <f t="shared" si="12"/>
        <v>426185.18699999998</v>
      </c>
      <c r="N68" s="34">
        <f t="shared" si="12"/>
        <v>402047.42</v>
      </c>
      <c r="O68" s="34">
        <f t="shared" si="12"/>
        <v>18260.866999999998</v>
      </c>
      <c r="P68" s="34">
        <f t="shared" si="12"/>
        <v>49746.311000000002</v>
      </c>
      <c r="Q68" s="34">
        <f t="shared" si="12"/>
        <v>8625.2309999999998</v>
      </c>
      <c r="R68" s="34">
        <f t="shared" si="12"/>
        <v>506.73200000000003</v>
      </c>
      <c r="S68" s="34">
        <f t="shared" si="12"/>
        <v>1512472.9080000001</v>
      </c>
      <c r="T68" s="34">
        <f t="shared" si="12"/>
        <v>1.3428972000000001</v>
      </c>
      <c r="U68" s="34">
        <f t="shared" si="12"/>
        <v>21209.63851099394</v>
      </c>
      <c r="V68" s="34">
        <f t="shared" si="12"/>
        <v>2192.2274053448291</v>
      </c>
      <c r="W68" s="34">
        <f t="shared" si="12"/>
        <v>176.54039999999998</v>
      </c>
      <c r="X68" s="34">
        <f t="shared" si="12"/>
        <v>1.9836000000000003E-3</v>
      </c>
      <c r="Y68" s="34">
        <f t="shared" si="12"/>
        <v>63.183557790751713</v>
      </c>
      <c r="Z68" s="34">
        <f t="shared" si="12"/>
        <v>1.3224000000000001E-3</v>
      </c>
      <c r="AA68" s="34">
        <f t="shared" si="12"/>
        <v>1825.5569765327227</v>
      </c>
      <c r="AB68" s="120">
        <f t="shared" si="12"/>
        <v>200840.31520568483</v>
      </c>
      <c r="AC68" s="57">
        <f t="shared" si="12"/>
        <v>66951121.189499974</v>
      </c>
      <c r="AD68" s="93"/>
      <c r="AE68" s="57">
        <f t="shared" si="4"/>
        <v>66951.121189499972</v>
      </c>
      <c r="AF68" s="128"/>
      <c r="AG68" s="57"/>
    </row>
    <row r="69" spans="1:33" ht="22.2" customHeight="1" x14ac:dyDescent="0.4">
      <c r="A69" s="20" t="s">
        <v>98</v>
      </c>
      <c r="B69" s="53">
        <f>SUM(B70:B74)</f>
        <v>27357409.339698311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27357409.339698311</v>
      </c>
      <c r="AD69" s="41"/>
      <c r="AE69" s="37">
        <f t="shared" si="4"/>
        <v>27357.409339698312</v>
      </c>
      <c r="AF69" s="128"/>
      <c r="AG69" s="76"/>
    </row>
    <row r="70" spans="1:33" ht="22.2" customHeight="1" x14ac:dyDescent="0.4">
      <c r="A70" s="100" t="s">
        <v>99</v>
      </c>
      <c r="B70" s="44">
        <v>19073897.900296003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19073897.900296003</v>
      </c>
      <c r="AD70" s="41"/>
      <c r="AE70" s="52">
        <f t="shared" si="4"/>
        <v>19073.897900296004</v>
      </c>
      <c r="AF70" s="128"/>
      <c r="AG70" s="111"/>
    </row>
    <row r="71" spans="1:33" ht="22.2" customHeight="1" x14ac:dyDescent="0.4">
      <c r="A71" s="100" t="s">
        <v>100</v>
      </c>
      <c r="B71" s="44">
        <v>3087039.1771758087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3087039.1771758087</v>
      </c>
      <c r="AD71" s="41"/>
      <c r="AE71" s="52">
        <f t="shared" si="4"/>
        <v>3087.0391771758086</v>
      </c>
      <c r="AF71" s="128"/>
      <c r="AG71" s="111"/>
    </row>
    <row r="72" spans="1:33" ht="22.2" customHeight="1" x14ac:dyDescent="0.4">
      <c r="A72" s="100" t="s">
        <v>101</v>
      </c>
      <c r="B72" s="44">
        <v>636240.18262821669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636240.18262821669</v>
      </c>
      <c r="AD72" s="41"/>
      <c r="AE72" s="52">
        <f t="shared" si="4"/>
        <v>636.24018262821664</v>
      </c>
      <c r="AF72" s="128"/>
      <c r="AG72" s="111"/>
    </row>
    <row r="73" spans="1:33" ht="22.2" customHeight="1" x14ac:dyDescent="0.4">
      <c r="A73" s="100" t="s">
        <v>102</v>
      </c>
      <c r="B73" s="44">
        <v>4560232.0795982806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4560232.0795982806</v>
      </c>
      <c r="AD73" s="41"/>
      <c r="AE73" s="52">
        <f t="shared" ref="AE73:AE136" si="13">AC73/1000</f>
        <v>4560.2320795982805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2453663.4946071664</v>
      </c>
      <c r="C75" s="37">
        <f>SUM(C76:C85)</f>
        <v>181783.56825671083</v>
      </c>
      <c r="D75" s="37">
        <f>SUM(D76:D85)</f>
        <v>704079.06974999991</v>
      </c>
      <c r="E75" s="60">
        <f>SUM(E76:E85)</f>
        <v>1437734.8640000001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4777260.9966138769</v>
      </c>
      <c r="AD75" s="41"/>
      <c r="AE75" s="37">
        <f t="shared" si="13"/>
        <v>4777.2609966138771</v>
      </c>
      <c r="AF75" s="128"/>
      <c r="AG75" s="76"/>
    </row>
    <row r="76" spans="1:33" ht="22.2" customHeight="1" x14ac:dyDescent="0.4">
      <c r="A76" s="100" t="s">
        <v>105</v>
      </c>
      <c r="B76" s="117">
        <v>689748.71121947479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689748.71121947479</v>
      </c>
      <c r="AD76" s="41"/>
      <c r="AE76" s="52">
        <f t="shared" si="13"/>
        <v>689.74871121947479</v>
      </c>
      <c r="AF76" s="128"/>
      <c r="AG76" s="111"/>
    </row>
    <row r="77" spans="1:33" ht="22.2" customHeight="1" x14ac:dyDescent="0.4">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162890.73000000001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162890.73000000001</v>
      </c>
      <c r="AD79" s="41"/>
      <c r="AE79" s="52">
        <f t="shared" si="13"/>
        <v>162.89073000000002</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207799.16000000003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207799.16000000003</v>
      </c>
      <c r="AD81" s="41"/>
      <c r="AE81" s="52">
        <f t="shared" si="13"/>
        <v>207.79916000000003</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1516095.6233876918</v>
      </c>
      <c r="C83" s="44">
        <v>181783.56825671083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1697879.1916444027</v>
      </c>
      <c r="AD83" s="41"/>
      <c r="AE83" s="52">
        <f t="shared" si="13"/>
        <v>1697.8791916444027</v>
      </c>
      <c r="AF83" s="128"/>
      <c r="AG83" s="111"/>
    </row>
    <row r="84" spans="1:33" ht="22.2" customHeight="1" x14ac:dyDescent="0.4">
      <c r="A84" s="100" t="s">
        <v>113</v>
      </c>
      <c r="B84" s="59"/>
      <c r="C84" s="58"/>
      <c r="D84" s="58"/>
      <c r="E84" s="160">
        <v>1437734.8640000001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1437734.8640000001</v>
      </c>
      <c r="AD84" s="41"/>
      <c r="AE84" s="52">
        <f t="shared" si="13"/>
        <v>1437.734864</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18257693.84</v>
      </c>
      <c r="C86" s="37">
        <f>SUM(C87:C93)</f>
        <v>3217.364</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18260911.204</v>
      </c>
      <c r="AD86" s="41"/>
      <c r="AE86" s="37">
        <f>AC86/1000</f>
        <v>18260.911204</v>
      </c>
      <c r="AF86" s="128"/>
      <c r="AG86" s="76"/>
    </row>
    <row r="87" spans="1:33" ht="22.2" customHeight="1" x14ac:dyDescent="0.4">
      <c r="A87" s="100" t="s">
        <v>116</v>
      </c>
      <c r="B87" s="44">
        <v>17864242.079999998</v>
      </c>
      <c r="C87" s="44">
        <v>3217.364</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17867459.443999998</v>
      </c>
      <c r="AD87" s="41"/>
      <c r="AE87" s="52">
        <f t="shared" si="13"/>
        <v>17867.459444</v>
      </c>
      <c r="AF87" s="128"/>
      <c r="AG87" s="111"/>
    </row>
    <row r="88" spans="1:33" ht="22.2" customHeight="1" x14ac:dyDescent="0.4">
      <c r="A88" s="100" t="s">
        <v>117</v>
      </c>
      <c r="B88" s="44">
        <v>267803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267803</v>
      </c>
      <c r="AD88" s="41"/>
      <c r="AE88" s="52">
        <f t="shared" si="13"/>
        <v>267.803</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0"/>
      <c r="V89" s="160"/>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125648.76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125648.76</v>
      </c>
      <c r="AD91" s="41"/>
      <c r="AE91" s="52">
        <f t="shared" si="13"/>
        <v>125.64876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94304.888880091996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94304.888880091996</v>
      </c>
      <c r="AD94" s="41"/>
      <c r="AE94" s="37">
        <f t="shared" si="13"/>
        <v>94.304888880091994</v>
      </c>
      <c r="AF94" s="128"/>
      <c r="AG94" s="78"/>
    </row>
    <row r="95" spans="1:33" ht="22.2" customHeight="1" x14ac:dyDescent="0.4">
      <c r="A95" s="100" t="s">
        <v>124</v>
      </c>
      <c r="B95" s="44">
        <v>77563.690165485328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77563.690165485328</v>
      </c>
      <c r="AD95" s="41"/>
      <c r="AE95" s="52">
        <f t="shared" si="13"/>
        <v>77.563690165485326</v>
      </c>
      <c r="AF95" s="128"/>
      <c r="AG95" s="111"/>
    </row>
    <row r="96" spans="1:33" ht="22.2" customHeight="1" x14ac:dyDescent="0.4">
      <c r="A96" s="100" t="s">
        <v>125</v>
      </c>
      <c r="B96" s="44">
        <v>16741.198714606668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16741.198714606668</v>
      </c>
      <c r="AD96" s="41"/>
      <c r="AE96" s="52">
        <f t="shared" si="13"/>
        <v>16.741198714606668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226.76537750622498</v>
      </c>
      <c r="E99" s="66">
        <f>SUM(E100:E102)</f>
        <v>409.94399999999996</v>
      </c>
      <c r="F99" s="47"/>
      <c r="G99" s="47"/>
      <c r="H99" s="47"/>
      <c r="I99" s="47"/>
      <c r="J99" s="47"/>
      <c r="K99" s="47"/>
      <c r="L99" s="47"/>
      <c r="M99" s="47"/>
      <c r="N99" s="47"/>
      <c r="O99" s="47"/>
      <c r="P99" s="47"/>
      <c r="Q99" s="47"/>
      <c r="R99" s="47"/>
      <c r="S99" s="47"/>
      <c r="T99" s="66">
        <f>SUM(T100:T102)</f>
        <v>1.3428972000000001</v>
      </c>
      <c r="U99" s="66">
        <f t="shared" ref="U99:AB99" si="16">SUM(U100:U102)</f>
        <v>21209.63851099394</v>
      </c>
      <c r="V99" s="66">
        <f t="shared" si="16"/>
        <v>2192.2274053448291</v>
      </c>
      <c r="W99" s="66">
        <f t="shared" si="16"/>
        <v>176.54039999999998</v>
      </c>
      <c r="X99" s="66">
        <f t="shared" si="16"/>
        <v>1.9836000000000003E-3</v>
      </c>
      <c r="Y99" s="66">
        <f t="shared" si="16"/>
        <v>63.183557790751713</v>
      </c>
      <c r="Z99" s="66">
        <f t="shared" si="16"/>
        <v>1.3224000000000001E-3</v>
      </c>
      <c r="AA99" s="66">
        <f t="shared" si="16"/>
        <v>1825.5569765327227</v>
      </c>
      <c r="AB99" s="66">
        <f t="shared" si="16"/>
        <v>1848.5052056848476</v>
      </c>
      <c r="AC99" s="37">
        <f>SUM(AC100:AC104)</f>
        <v>27953.707637053314</v>
      </c>
      <c r="AD99" s="41"/>
      <c r="AE99" s="37">
        <f t="shared" si="13"/>
        <v>27.953707637053313</v>
      </c>
      <c r="AF99" s="128"/>
      <c r="AG99" s="63"/>
    </row>
    <row r="100" spans="1:33" ht="22.2" customHeight="1" x14ac:dyDescent="0.4">
      <c r="A100" s="100" t="s">
        <v>129</v>
      </c>
      <c r="B100" s="63"/>
      <c r="C100" s="63"/>
      <c r="D100" s="44">
        <v>176.97018</v>
      </c>
      <c r="E100" s="160">
        <v>409.94399999999996</v>
      </c>
      <c r="F100" s="47"/>
      <c r="G100" s="47"/>
      <c r="H100" s="47"/>
      <c r="I100" s="47"/>
      <c r="J100" s="47"/>
      <c r="K100" s="47"/>
      <c r="L100" s="47"/>
      <c r="M100" s="47"/>
      <c r="N100" s="47"/>
      <c r="O100" s="47"/>
      <c r="P100" s="47"/>
      <c r="Q100" s="47"/>
      <c r="R100" s="47"/>
      <c r="S100" s="47"/>
      <c r="T100" s="160">
        <v>1.3428972000000001</v>
      </c>
      <c r="U100" s="160">
        <v>1578.1521599999999</v>
      </c>
      <c r="V100" s="160">
        <v>880.71839999999986</v>
      </c>
      <c r="W100" s="160">
        <v>176.54039999999998</v>
      </c>
      <c r="X100" s="160">
        <v>1.9836000000000003E-3</v>
      </c>
      <c r="Y100" s="160">
        <v>63.078480000000006</v>
      </c>
      <c r="Z100" s="160">
        <v>1.3224000000000001E-3</v>
      </c>
      <c r="AA100" s="160">
        <v>1596.798</v>
      </c>
      <c r="AB100" s="160">
        <v>776.91</v>
      </c>
      <c r="AC100" s="52">
        <f>SUM(B100:AB100)</f>
        <v>5660.4578231999994</v>
      </c>
      <c r="AD100" s="41"/>
      <c r="AE100" s="52">
        <f t="shared" si="13"/>
        <v>5.6604578231999998</v>
      </c>
      <c r="AF100" s="128"/>
      <c r="AG100" s="111"/>
    </row>
    <row r="101" spans="1:33" ht="22.2" customHeight="1" x14ac:dyDescent="0.4">
      <c r="A101" s="100" t="s">
        <v>130</v>
      </c>
      <c r="B101" s="64"/>
      <c r="C101" s="63"/>
      <c r="D101" s="44">
        <v>49.79519750622498</v>
      </c>
      <c r="E101" s="45"/>
      <c r="F101" s="47"/>
      <c r="G101" s="47"/>
      <c r="H101" s="47"/>
      <c r="I101" s="47"/>
      <c r="J101" s="47"/>
      <c r="K101" s="47"/>
      <c r="L101" s="47"/>
      <c r="M101" s="47"/>
      <c r="N101" s="47"/>
      <c r="O101" s="47"/>
      <c r="P101" s="47"/>
      <c r="Q101" s="47"/>
      <c r="R101" s="47"/>
      <c r="S101" s="47"/>
      <c r="T101" s="47"/>
      <c r="U101" s="160">
        <v>47.466744155605419</v>
      </c>
      <c r="V101" s="47"/>
      <c r="W101" s="47"/>
      <c r="X101" s="47"/>
      <c r="Y101" s="160">
        <v>0.10507779075170572</v>
      </c>
      <c r="Z101" s="47"/>
      <c r="AA101" s="160">
        <v>228.75897653272278</v>
      </c>
      <c r="AB101" s="160">
        <v>1071.5952056848478</v>
      </c>
      <c r="AC101" s="52">
        <f>SUM(B101:AB101)</f>
        <v>1397.7212016701526</v>
      </c>
      <c r="AD101" s="41"/>
      <c r="AE101" s="52">
        <f t="shared" si="13"/>
        <v>1.3977212016701526</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0">
        <v>19584.019606838334</v>
      </c>
      <c r="V102" s="160">
        <v>1311.5090053448291</v>
      </c>
      <c r="W102" s="47"/>
      <c r="X102" s="47"/>
      <c r="Y102" s="47"/>
      <c r="Z102" s="47"/>
      <c r="AA102" s="47"/>
      <c r="AB102" s="75"/>
      <c r="AC102" s="52">
        <f>SUM(B102:AB102)</f>
        <v>20895.528612183163</v>
      </c>
      <c r="AD102" s="41"/>
      <c r="AE102" s="52">
        <f t="shared" si="13"/>
        <v>20.895528612183163</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581833.52099999995</v>
      </c>
      <c r="G105" s="67">
        <f t="shared" ref="G105:S105" si="17">SUM(G106:G111)</f>
        <v>16441.045999999998</v>
      </c>
      <c r="H105" s="66">
        <f t="shared" si="17"/>
        <v>22094.205000000002</v>
      </c>
      <c r="I105" s="66">
        <f t="shared" si="17"/>
        <v>8989.1149999999998</v>
      </c>
      <c r="J105" s="66">
        <f t="shared" si="17"/>
        <v>5926146.8990000002</v>
      </c>
      <c r="K105" s="66">
        <f t="shared" si="17"/>
        <v>7041197.9890000001</v>
      </c>
      <c r="L105" s="66">
        <f t="shared" si="17"/>
        <v>161816.23199999999</v>
      </c>
      <c r="M105" s="66">
        <f t="shared" si="17"/>
        <v>426185.18699999998</v>
      </c>
      <c r="N105" s="66">
        <f t="shared" si="17"/>
        <v>402047.42</v>
      </c>
      <c r="O105" s="66">
        <f t="shared" si="17"/>
        <v>18260.866999999998</v>
      </c>
      <c r="P105" s="66">
        <f t="shared" si="17"/>
        <v>49746.311000000002</v>
      </c>
      <c r="Q105" s="66">
        <f t="shared" si="17"/>
        <v>8625.2309999999998</v>
      </c>
      <c r="R105" s="67">
        <f t="shared" si="17"/>
        <v>506.73200000000003</v>
      </c>
      <c r="S105" s="66">
        <f t="shared" si="17"/>
        <v>1512472.9080000001</v>
      </c>
      <c r="T105" s="47"/>
      <c r="U105" s="47"/>
      <c r="V105" s="47"/>
      <c r="W105" s="47"/>
      <c r="X105" s="47"/>
      <c r="Y105" s="47"/>
      <c r="Z105" s="47"/>
      <c r="AA105" s="47"/>
      <c r="AB105" s="75"/>
      <c r="AC105" s="37">
        <f>SUM(AC106:AC111)</f>
        <v>16176363.662999999</v>
      </c>
      <c r="AD105" s="41"/>
      <c r="AE105" s="37">
        <f>AC105/1000</f>
        <v>16176.363662999998</v>
      </c>
      <c r="AF105" s="128"/>
      <c r="AG105" s="63"/>
    </row>
    <row r="106" spans="1:33" ht="22.2" customHeight="1" x14ac:dyDescent="0.4">
      <c r="A106" s="100" t="s">
        <v>135</v>
      </c>
      <c r="B106" s="63"/>
      <c r="C106" s="63"/>
      <c r="D106" s="63"/>
      <c r="E106" s="45"/>
      <c r="F106" s="160">
        <v>581833.52099999995</v>
      </c>
      <c r="G106" s="47"/>
      <c r="H106" s="47"/>
      <c r="I106" s="47"/>
      <c r="J106" s="160">
        <v>5577830.9359999998</v>
      </c>
      <c r="K106" s="160">
        <v>7041197.9890000001</v>
      </c>
      <c r="L106" s="160">
        <v>161816.23199999999</v>
      </c>
      <c r="M106" s="105"/>
      <c r="N106" s="47"/>
      <c r="O106" s="47"/>
      <c r="P106" s="47"/>
      <c r="Q106" s="47"/>
      <c r="R106" s="47"/>
      <c r="S106" s="160">
        <v>1512472.9080000001</v>
      </c>
      <c r="T106" s="47"/>
      <c r="U106" s="47"/>
      <c r="V106" s="47"/>
      <c r="W106" s="47"/>
      <c r="X106" s="47"/>
      <c r="Y106" s="47"/>
      <c r="Z106" s="47"/>
      <c r="AA106" s="47"/>
      <c r="AB106" s="75"/>
      <c r="AC106" s="52">
        <f>SUM(B106:AB106)</f>
        <v>14875151.585999999</v>
      </c>
      <c r="AD106" s="41"/>
      <c r="AE106" s="52">
        <f>AC106/1000</f>
        <v>14875.151586</v>
      </c>
      <c r="AF106" s="128"/>
      <c r="AG106" s="111"/>
    </row>
    <row r="107" spans="1:33" ht="22.2" customHeight="1" x14ac:dyDescent="0.4">
      <c r="A107" s="100" t="s">
        <v>136</v>
      </c>
      <c r="B107" s="63"/>
      <c r="C107" s="63"/>
      <c r="D107" s="63"/>
      <c r="E107" s="45"/>
      <c r="F107" s="47"/>
      <c r="G107" s="47"/>
      <c r="H107" s="47"/>
      <c r="I107" s="160">
        <v>8989.1149999999998</v>
      </c>
      <c r="J107" s="160">
        <v>3535.0639999999999</v>
      </c>
      <c r="K107" s="47"/>
      <c r="L107" s="47"/>
      <c r="M107" s="160">
        <v>426185.18699999998</v>
      </c>
      <c r="N107" s="47"/>
      <c r="O107" s="47"/>
      <c r="P107" s="47"/>
      <c r="Q107" s="160">
        <v>8625.2309999999998</v>
      </c>
      <c r="R107" s="47"/>
      <c r="S107" s="47"/>
      <c r="T107" s="47"/>
      <c r="U107" s="47"/>
      <c r="V107" s="47"/>
      <c r="W107" s="47"/>
      <c r="X107" s="47"/>
      <c r="Y107" s="47"/>
      <c r="Z107" s="47"/>
      <c r="AA107" s="47"/>
      <c r="AB107" s="75"/>
      <c r="AC107" s="52">
        <f>SUM(B107:AB107)</f>
        <v>447334.59699999995</v>
      </c>
      <c r="AD107" s="41"/>
      <c r="AE107" s="52">
        <f t="shared" si="13"/>
        <v>447.33459699999997</v>
      </c>
      <c r="AF107" s="128"/>
      <c r="AG107" s="111"/>
    </row>
    <row r="108" spans="1:33" ht="22.2" customHeight="1" x14ac:dyDescent="0.4">
      <c r="A108" s="100" t="s">
        <v>137</v>
      </c>
      <c r="B108" s="63"/>
      <c r="C108" s="63"/>
      <c r="D108" s="63"/>
      <c r="E108" s="45"/>
      <c r="F108" s="47"/>
      <c r="G108" s="47"/>
      <c r="H108" s="160">
        <v>22094.205000000002</v>
      </c>
      <c r="I108" s="47"/>
      <c r="J108" s="47"/>
      <c r="K108" s="47"/>
      <c r="L108" s="47"/>
      <c r="M108" s="47"/>
      <c r="N108" s="47"/>
      <c r="O108" s="160">
        <v>18260.866999999998</v>
      </c>
      <c r="P108" s="160">
        <v>49746.311000000002</v>
      </c>
      <c r="Q108" s="47"/>
      <c r="R108" s="160">
        <v>506.73200000000003</v>
      </c>
      <c r="S108" s="47"/>
      <c r="T108" s="47"/>
      <c r="U108" s="47"/>
      <c r="V108" s="47"/>
      <c r="W108" s="47"/>
      <c r="X108" s="47"/>
      <c r="Y108" s="47"/>
      <c r="Z108" s="47"/>
      <c r="AA108" s="47"/>
      <c r="AB108" s="75"/>
      <c r="AC108" s="52">
        <f>SUM(B108:AB108)</f>
        <v>90608.115000000005</v>
      </c>
      <c r="AD108" s="41"/>
      <c r="AE108" s="52">
        <f t="shared" si="13"/>
        <v>90.608115000000012</v>
      </c>
      <c r="AF108" s="128"/>
      <c r="AG108" s="111"/>
    </row>
    <row r="109" spans="1:33" ht="22.2" customHeight="1" x14ac:dyDescent="0.4">
      <c r="A109" s="100" t="s">
        <v>138</v>
      </c>
      <c r="B109" s="63"/>
      <c r="C109" s="63"/>
      <c r="D109" s="63"/>
      <c r="E109" s="45"/>
      <c r="F109" s="47"/>
      <c r="G109" s="47"/>
      <c r="H109" s="47"/>
      <c r="I109" s="47"/>
      <c r="J109" s="160">
        <v>344780.89899999998</v>
      </c>
      <c r="K109" s="47"/>
      <c r="L109" s="47"/>
      <c r="M109" s="47"/>
      <c r="N109" s="160">
        <v>402047.42</v>
      </c>
      <c r="O109" s="47"/>
      <c r="P109" s="47"/>
      <c r="Q109" s="160">
        <v>0</v>
      </c>
      <c r="R109" s="47"/>
      <c r="S109" s="47"/>
      <c r="T109" s="47"/>
      <c r="U109" s="47"/>
      <c r="V109" s="47"/>
      <c r="W109" s="47"/>
      <c r="X109" s="47"/>
      <c r="Y109" s="47"/>
      <c r="Z109" s="47"/>
      <c r="AA109" s="47"/>
      <c r="AB109" s="75"/>
      <c r="AC109" s="52">
        <f>SUM(B109:AB109)</f>
        <v>746828.3189999999</v>
      </c>
      <c r="AD109" s="41"/>
      <c r="AE109" s="52">
        <f t="shared" si="13"/>
        <v>746.82831899999985</v>
      </c>
      <c r="AF109" s="128"/>
      <c r="AG109" s="111"/>
    </row>
    <row r="110" spans="1:33" ht="22.2" customHeight="1" x14ac:dyDescent="0.4">
      <c r="A110" s="100" t="s">
        <v>139</v>
      </c>
      <c r="B110" s="64"/>
      <c r="C110" s="63"/>
      <c r="D110" s="63"/>
      <c r="E110" s="45"/>
      <c r="F110" s="47"/>
      <c r="G110" s="160">
        <v>16441.045999999998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16441.045999999998</v>
      </c>
      <c r="AD110" s="41"/>
      <c r="AE110" s="52">
        <f t="shared" si="13"/>
        <v>16.441046</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198991.81</v>
      </c>
      <c r="AC112" s="37">
        <f>SUM(AC113:AC116)</f>
        <v>198991.81</v>
      </c>
      <c r="AD112" s="41"/>
      <c r="AE112" s="37">
        <f t="shared" si="13"/>
        <v>198.99180999999999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0">
        <v>198991.81</v>
      </c>
      <c r="AC113" s="52">
        <f>SUM(B113:AB113)</f>
        <v>198991.81</v>
      </c>
      <c r="AD113" s="41"/>
      <c r="AE113" s="52">
        <f t="shared" si="13"/>
        <v>198.99180999999999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57925.579670635329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57925.579670635329</v>
      </c>
      <c r="AD117" s="41"/>
      <c r="AE117" s="37">
        <f t="shared" si="13"/>
        <v>57.925579670635329</v>
      </c>
      <c r="AF117" s="128"/>
      <c r="AG117" s="64"/>
    </row>
    <row r="118" spans="1:33" ht="22.2" customHeight="1" x14ac:dyDescent="0.4">
      <c r="A118" s="100" t="s">
        <v>147</v>
      </c>
      <c r="B118" s="44">
        <v>57925.579670635329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57925.579670635329</v>
      </c>
      <c r="AD118" s="41"/>
      <c r="AE118" s="52">
        <f t="shared" si="13"/>
        <v>57.925579670635329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1207328.98</v>
      </c>
      <c r="C121" s="33">
        <f>C122+C132+SUM(C143:C149)</f>
        <v>90975869.432999998</v>
      </c>
      <c r="D121" s="33">
        <f>D122+D132+SUM(D143:D149)</f>
        <v>31400547.585559003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123583745.998559</v>
      </c>
      <c r="AD121" s="41"/>
      <c r="AE121" s="57">
        <f t="shared" si="13"/>
        <v>123583.745998559</v>
      </c>
      <c r="AF121" s="128"/>
      <c r="AG121" s="33">
        <f>SUM(AG122:AG149)</f>
        <v>3692.91</v>
      </c>
    </row>
    <row r="122" spans="1:33" ht="22.2" customHeight="1" x14ac:dyDescent="0.4">
      <c r="A122" s="22" t="s">
        <v>151</v>
      </c>
      <c r="B122" s="58"/>
      <c r="C122" s="37">
        <f>SUM(C123:C131)</f>
        <v>73292350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73292350</v>
      </c>
      <c r="AD122" s="41"/>
      <c r="AE122" s="37">
        <f t="shared" si="13"/>
        <v>73292.350000000006</v>
      </c>
      <c r="AF122" s="128"/>
      <c r="AG122" s="63"/>
    </row>
    <row r="123" spans="1:33" ht="22.2" customHeight="1" x14ac:dyDescent="0.4">
      <c r="A123" s="21" t="s">
        <v>152</v>
      </c>
      <c r="B123" s="58"/>
      <c r="C123" s="44">
        <v>69102561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69102561</v>
      </c>
      <c r="AD123" s="41"/>
      <c r="AE123" s="52">
        <f t="shared" si="13"/>
        <v>69102.561000000002</v>
      </c>
      <c r="AF123" s="128"/>
      <c r="AG123" s="111"/>
    </row>
    <row r="124" spans="1:33" ht="22.2" customHeight="1" x14ac:dyDescent="0.4">
      <c r="A124" s="21" t="s">
        <v>153</v>
      </c>
      <c r="B124" s="59"/>
      <c r="C124" s="44">
        <v>1634143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1634143</v>
      </c>
      <c r="AD124" s="41"/>
      <c r="AE124" s="52">
        <f t="shared" si="13"/>
        <v>1634.143</v>
      </c>
      <c r="AF124" s="128"/>
      <c r="AG124" s="111"/>
    </row>
    <row r="125" spans="1:33" ht="22.2" customHeight="1" x14ac:dyDescent="0.4">
      <c r="A125" s="21" t="s">
        <v>154</v>
      </c>
      <c r="B125" s="59"/>
      <c r="C125" s="44">
        <v>330031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330031</v>
      </c>
      <c r="AD125" s="41"/>
      <c r="AE125" s="52">
        <f t="shared" si="13"/>
        <v>330.03100000000001</v>
      </c>
      <c r="AF125" s="128"/>
      <c r="AG125" s="111"/>
    </row>
    <row r="126" spans="1:33" ht="22.2" customHeight="1" x14ac:dyDescent="0.4">
      <c r="A126" s="21" t="s">
        <v>155</v>
      </c>
      <c r="B126" s="59"/>
      <c r="C126" s="44">
        <v>282815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282815</v>
      </c>
      <c r="AD126" s="41"/>
      <c r="AE126" s="52">
        <f t="shared" si="13"/>
        <v>282.815</v>
      </c>
      <c r="AF126" s="128"/>
      <c r="AG126" s="111"/>
    </row>
    <row r="127" spans="1:33" ht="22.2" customHeight="1" x14ac:dyDescent="0.4">
      <c r="A127" s="21" t="s">
        <v>156</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157</v>
      </c>
      <c r="B128" s="59"/>
      <c r="C128" s="44">
        <v>1392501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1392501</v>
      </c>
      <c r="AD128" s="41"/>
      <c r="AE128" s="52">
        <f t="shared" si="13"/>
        <v>1392.501</v>
      </c>
      <c r="AF128" s="128"/>
      <c r="AG128" s="111"/>
    </row>
    <row r="129" spans="1:33" ht="22.2" customHeight="1" x14ac:dyDescent="0.4">
      <c r="A129" s="21" t="s">
        <v>158</v>
      </c>
      <c r="B129" s="76"/>
      <c r="C129" s="44">
        <v>439921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439921</v>
      </c>
      <c r="AD129" s="41"/>
      <c r="AE129" s="52">
        <f t="shared" si="13"/>
        <v>439.92099999999999</v>
      </c>
      <c r="AF129" s="128"/>
      <c r="AG129" s="111"/>
    </row>
    <row r="130" spans="1:33" ht="22.2" customHeight="1" x14ac:dyDescent="0.4">
      <c r="A130" s="21" t="s">
        <v>159</v>
      </c>
      <c r="B130" s="77"/>
      <c r="C130" s="44">
        <v>110378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110378</v>
      </c>
      <c r="AD130" s="41"/>
      <c r="AE130" s="52">
        <f t="shared" si="13"/>
        <v>110.378</v>
      </c>
      <c r="AF130" s="128"/>
      <c r="AG130" s="111"/>
    </row>
    <row r="131" spans="1:33" ht="22.2" customHeight="1" x14ac:dyDescent="0.4">
      <c r="A131" s="21" t="s">
        <v>160</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161</v>
      </c>
      <c r="B132" s="78"/>
      <c r="C132" s="62">
        <f>SUM(C133:C142)</f>
        <v>16888453</v>
      </c>
      <c r="D132" s="62">
        <f>SUM(D133:D142)</f>
        <v>7210079.5118000004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24098532.511799999</v>
      </c>
      <c r="AD132" s="41"/>
      <c r="AE132" s="37">
        <f t="shared" si="13"/>
        <v>24098.5325118</v>
      </c>
      <c r="AF132" s="128"/>
      <c r="AG132" s="78"/>
    </row>
    <row r="133" spans="1:33" ht="22.2" customHeight="1" x14ac:dyDescent="0.4">
      <c r="A133" s="21" t="s">
        <v>162</v>
      </c>
      <c r="B133" s="59"/>
      <c r="C133" s="44">
        <v>10564441</v>
      </c>
      <c r="D133" s="44">
        <v>5908524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16472965</v>
      </c>
      <c r="AD133" s="41"/>
      <c r="AE133" s="52">
        <f t="shared" si="13"/>
        <v>16472.965</v>
      </c>
      <c r="AF133" s="128"/>
      <c r="AG133" s="111"/>
    </row>
    <row r="134" spans="1:33" ht="22.2" customHeight="1" x14ac:dyDescent="0.4">
      <c r="A134" s="21" t="s">
        <v>163</v>
      </c>
      <c r="B134" s="59"/>
      <c r="C134" s="44">
        <v>35798</v>
      </c>
      <c r="D134" s="44">
        <v>36343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72141</v>
      </c>
      <c r="AD134" s="41"/>
      <c r="AE134" s="52">
        <f t="shared" si="13"/>
        <v>72.141000000000005</v>
      </c>
      <c r="AF134" s="128"/>
      <c r="AG134" s="111"/>
    </row>
    <row r="135" spans="1:33" ht="22.2" customHeight="1" x14ac:dyDescent="0.4">
      <c r="A135" s="21" t="s">
        <v>164</v>
      </c>
      <c r="B135" s="59"/>
      <c r="C135" s="44">
        <v>4431176</v>
      </c>
      <c r="D135" s="44">
        <v>413460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4844636</v>
      </c>
      <c r="AD135" s="41"/>
      <c r="AE135" s="52">
        <f t="shared" si="13"/>
        <v>4844.6360000000004</v>
      </c>
      <c r="AF135" s="128"/>
      <c r="AG135" s="111"/>
    </row>
    <row r="136" spans="1:33" ht="22.2" customHeight="1" x14ac:dyDescent="0.4">
      <c r="A136" s="21" t="s">
        <v>165</v>
      </c>
      <c r="B136" s="59"/>
      <c r="C136" s="44">
        <v>8318</v>
      </c>
      <c r="D136" s="44">
        <v>27770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36088</v>
      </c>
      <c r="AD136" s="41"/>
      <c r="AE136" s="52">
        <f t="shared" si="13"/>
        <v>36.088000000000001</v>
      </c>
      <c r="AF136" s="128"/>
      <c r="AG136" s="111"/>
    </row>
    <row r="137" spans="1:33" ht="22.2" customHeight="1" x14ac:dyDescent="0.4">
      <c r="A137" s="21" t="s">
        <v>166</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167</v>
      </c>
      <c r="B138" s="59"/>
      <c r="C138" s="44">
        <v>37832</v>
      </c>
      <c r="D138" s="44">
        <v>21079</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58911</v>
      </c>
      <c r="AD138" s="41"/>
      <c r="AE138" s="52">
        <f t="shared" si="20"/>
        <v>58.911000000000001</v>
      </c>
      <c r="AF138" s="128"/>
      <c r="AG138" s="111"/>
    </row>
    <row r="139" spans="1:33" ht="22.2" customHeight="1" x14ac:dyDescent="0.4">
      <c r="A139" s="21" t="s">
        <v>168</v>
      </c>
      <c r="B139" s="59"/>
      <c r="C139" s="44">
        <v>40900</v>
      </c>
      <c r="D139" s="44">
        <v>335659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376559</v>
      </c>
      <c r="AD139" s="41"/>
      <c r="AE139" s="52">
        <f t="shared" si="20"/>
        <v>376.55900000000003</v>
      </c>
      <c r="AF139" s="128"/>
      <c r="AG139" s="111"/>
    </row>
    <row r="140" spans="1:33" ht="22.2" customHeight="1" x14ac:dyDescent="0.4">
      <c r="A140" s="21" t="s">
        <v>169</v>
      </c>
      <c r="B140" s="59"/>
      <c r="C140" s="44">
        <v>10577</v>
      </c>
      <c r="D140" s="44">
        <v>75228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85805</v>
      </c>
      <c r="AD140" s="41"/>
      <c r="AE140" s="52">
        <f t="shared" si="20"/>
        <v>85.805000000000007</v>
      </c>
      <c r="AF140" s="128"/>
      <c r="AG140" s="111"/>
    </row>
    <row r="141" spans="1:33" ht="22.2" customHeight="1" x14ac:dyDescent="0.4">
      <c r="A141" s="21" t="s">
        <v>170</v>
      </c>
      <c r="B141" s="76"/>
      <c r="C141" s="44">
        <v>1759411</v>
      </c>
      <c r="D141" s="44">
        <v>392016.51179999998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2151427.5118</v>
      </c>
      <c r="AD141" s="41"/>
      <c r="AE141" s="52">
        <f t="shared" si="20"/>
        <v>2151.4275118</v>
      </c>
      <c r="AF141" s="128"/>
      <c r="AG141" s="111"/>
    </row>
    <row r="142" spans="1:33" ht="22.2" customHeight="1" x14ac:dyDescent="0.4">
      <c r="A142" s="21" t="s">
        <v>171</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172</v>
      </c>
      <c r="B143" s="59"/>
      <c r="C143" s="75"/>
      <c r="D143" s="44">
        <v>2872106.7510000002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2872106.7510000002</v>
      </c>
      <c r="AD143" s="41"/>
      <c r="AE143" s="52">
        <f t="shared" ref="AE143:AE150" si="22">AC143/1000</f>
        <v>2872.1067510000003</v>
      </c>
      <c r="AF143" s="128"/>
      <c r="AG143" s="111"/>
    </row>
    <row r="144" spans="1:33" ht="22.2" customHeight="1" x14ac:dyDescent="0.4">
      <c r="A144" s="22" t="s">
        <v>173</v>
      </c>
      <c r="B144" s="59"/>
      <c r="C144" s="44">
        <v>123730.02099999999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123730.02099999999</v>
      </c>
      <c r="AD144" s="41"/>
      <c r="AE144" s="52">
        <f t="shared" si="22"/>
        <v>123.73002099999999</v>
      </c>
      <c r="AF144" s="128"/>
      <c r="AG144" s="111"/>
    </row>
    <row r="145" spans="1:33" ht="22.2" customHeight="1" x14ac:dyDescent="0.4">
      <c r="A145" s="22" t="s">
        <v>174</v>
      </c>
      <c r="B145" s="59"/>
      <c r="C145" s="75"/>
      <c r="D145" s="44">
        <v>14591369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14591369</v>
      </c>
      <c r="AD145" s="41"/>
      <c r="AE145" s="52">
        <f t="shared" si="22"/>
        <v>14591.369000000001</v>
      </c>
      <c r="AF145" s="128"/>
      <c r="AG145" s="111"/>
    </row>
    <row r="146" spans="1:33" ht="22.2" customHeight="1" x14ac:dyDescent="0.4">
      <c r="A146" s="22" t="s">
        <v>175</v>
      </c>
      <c r="B146" s="59"/>
      <c r="C146" s="75"/>
      <c r="D146" s="44">
        <v>6523461.8956589997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6523461.8956589997</v>
      </c>
      <c r="AD146" s="41"/>
      <c r="AE146" s="52">
        <f t="shared" si="22"/>
        <v>6523.4618956589993</v>
      </c>
      <c r="AF146" s="128"/>
      <c r="AG146" s="111"/>
    </row>
    <row r="147" spans="1:33" ht="22.2" customHeight="1" x14ac:dyDescent="0.4">
      <c r="A147" s="21" t="s">
        <v>176</v>
      </c>
      <c r="B147" s="59"/>
      <c r="C147" s="44">
        <v>671336.41200000001</v>
      </c>
      <c r="D147" s="44">
        <v>203530.4271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874866.83909999998</v>
      </c>
      <c r="AD147" s="41"/>
      <c r="AE147" s="52">
        <f t="shared" si="22"/>
        <v>874.86683909999999</v>
      </c>
      <c r="AF147" s="128"/>
      <c r="AG147" s="44">
        <v>3692.91</v>
      </c>
    </row>
    <row r="148" spans="1:33" ht="22.2" customHeight="1" x14ac:dyDescent="0.4">
      <c r="A148" s="22" t="s">
        <v>177</v>
      </c>
      <c r="B148" s="44">
        <v>42825.71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42825.71</v>
      </c>
      <c r="AD148" s="41"/>
      <c r="AE148" s="52">
        <f t="shared" si="22"/>
        <v>42.825710000000001</v>
      </c>
      <c r="AF148" s="128"/>
      <c r="AG148" s="111"/>
    </row>
    <row r="149" spans="1:33" ht="22.2" customHeight="1" x14ac:dyDescent="0.4">
      <c r="A149" s="22" t="s">
        <v>178</v>
      </c>
      <c r="B149" s="44">
        <v>1164503.27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1164503.27</v>
      </c>
      <c r="AD149" s="41"/>
      <c r="AE149" s="52">
        <f t="shared" si="22"/>
        <v>1164.5032699999999</v>
      </c>
      <c r="AF149" s="128"/>
      <c r="AG149" s="111"/>
    </row>
    <row r="150" spans="1:33" ht="22.2" customHeight="1" x14ac:dyDescent="0.4">
      <c r="A150" s="15" t="s">
        <v>179</v>
      </c>
      <c r="B150" s="33">
        <f>B151+B154+B157+B160+B163+B166+B173</f>
        <v>-188585168.85319999</v>
      </c>
      <c r="C150" s="33">
        <f>C169</f>
        <v>127764.6459</v>
      </c>
      <c r="D150" s="33">
        <f>D169</f>
        <v>55153.651700000002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-188402250.55559999</v>
      </c>
      <c r="AD150" s="41"/>
      <c r="AE150" s="57">
        <f t="shared" si="22"/>
        <v>-188402.25055559998</v>
      </c>
      <c r="AF150" s="128"/>
      <c r="AG150" s="33">
        <f>AG169</f>
        <v>751.55499999999995</v>
      </c>
    </row>
    <row r="151" spans="1:33" ht="22.2" customHeight="1" x14ac:dyDescent="0.4">
      <c r="A151" s="22" t="s">
        <v>180</v>
      </c>
      <c r="B151" s="151">
        <f>SUM(B152:B153)</f>
        <v>-184346202.62650001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-184346202.62650001</v>
      </c>
      <c r="AD151" s="41"/>
      <c r="AE151" s="79">
        <f t="shared" si="20"/>
        <v>-184346.20262650002</v>
      </c>
      <c r="AF151" s="128"/>
      <c r="AG151" s="63"/>
    </row>
    <row r="152" spans="1:33" ht="22.2" customHeight="1" x14ac:dyDescent="0.4">
      <c r="A152" s="21" t="s">
        <v>181</v>
      </c>
      <c r="B152" s="44">
        <v>-180793907.6216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-180793907.6216</v>
      </c>
      <c r="AD152" s="41"/>
      <c r="AE152" s="52">
        <f t="shared" si="20"/>
        <v>-180793.9076216</v>
      </c>
      <c r="AF152" s="128"/>
      <c r="AG152" s="111"/>
    </row>
    <row r="153" spans="1:33" ht="22.2" customHeight="1" x14ac:dyDescent="0.4">
      <c r="A153" s="21" t="s">
        <v>182</v>
      </c>
      <c r="B153" s="44">
        <v>-3552295.0049000001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-3552295.0049000001</v>
      </c>
      <c r="AD153" s="41"/>
      <c r="AE153" s="52">
        <f t="shared" si="20"/>
        <v>-3552.2950049000001</v>
      </c>
      <c r="AF153" s="128"/>
      <c r="AG153" s="111"/>
    </row>
    <row r="154" spans="1:33" ht="22.2" customHeight="1" x14ac:dyDescent="0.4">
      <c r="A154" s="22" t="s">
        <v>183</v>
      </c>
      <c r="B154" s="151">
        <f>SUM(B155:B156)</f>
        <v>-14443932.167699998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-14443932.167699998</v>
      </c>
      <c r="AD154" s="41"/>
      <c r="AE154" s="79">
        <f t="shared" si="20"/>
        <v>-14443.932167699999</v>
      </c>
      <c r="AF154" s="128"/>
      <c r="AG154" s="63"/>
    </row>
    <row r="155" spans="1:33" ht="22.2" customHeight="1" x14ac:dyDescent="0.4">
      <c r="A155" s="21" t="s">
        <v>184</v>
      </c>
      <c r="B155" s="44">
        <v>-18766327.896699999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-18766327.896699999</v>
      </c>
      <c r="AD155" s="41"/>
      <c r="AE155" s="52">
        <f t="shared" si="20"/>
        <v>-18766.327896699997</v>
      </c>
      <c r="AF155" s="128"/>
      <c r="AG155" s="111"/>
    </row>
    <row r="156" spans="1:33" ht="22.2" customHeight="1" x14ac:dyDescent="0.4">
      <c r="A156" s="21" t="s">
        <v>185</v>
      </c>
      <c r="B156" s="44">
        <v>4322395.7290000003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4322395.7290000003</v>
      </c>
      <c r="AD156" s="41"/>
      <c r="AE156" s="52">
        <f t="shared" si="20"/>
        <v>4322.3957289999998</v>
      </c>
      <c r="AF156" s="128"/>
      <c r="AG156" s="111"/>
    </row>
    <row r="157" spans="1:33" ht="22.2" customHeight="1" x14ac:dyDescent="0.4">
      <c r="A157" s="22" t="s">
        <v>186</v>
      </c>
      <c r="B157" s="151">
        <f>SUM(B158:B159)</f>
        <v>11745656.8485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11745656.8485</v>
      </c>
      <c r="AD157" s="41"/>
      <c r="AE157" s="79">
        <f t="shared" si="20"/>
        <v>11745.656848500001</v>
      </c>
      <c r="AF157" s="128"/>
      <c r="AG157" s="63"/>
    </row>
    <row r="158" spans="1:33" ht="22.2" customHeight="1" x14ac:dyDescent="0.4">
      <c r="A158" s="21" t="s">
        <v>187</v>
      </c>
      <c r="B158" s="44">
        <v>-459648.58020000003</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-459648.58020000003</v>
      </c>
      <c r="AD158" s="41"/>
      <c r="AE158" s="52">
        <f t="shared" si="20"/>
        <v>-459.64858020000003</v>
      </c>
      <c r="AF158" s="128"/>
      <c r="AG158" s="111"/>
    </row>
    <row r="159" spans="1:33" ht="22.2" customHeight="1" x14ac:dyDescent="0.4">
      <c r="A159" s="21" t="s">
        <v>188</v>
      </c>
      <c r="B159" s="44">
        <v>12205305.4287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12205305.4287</v>
      </c>
      <c r="AD159" s="41"/>
      <c r="AE159" s="52">
        <f t="shared" si="20"/>
        <v>12205.3054287</v>
      </c>
      <c r="AF159" s="128"/>
      <c r="AG159" s="111"/>
    </row>
    <row r="160" spans="1:33" ht="22.2" customHeight="1" x14ac:dyDescent="0.4">
      <c r="A160" s="22" t="s">
        <v>189</v>
      </c>
      <c r="B160" s="151">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190</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191</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192</v>
      </c>
      <c r="B163" s="151">
        <f>SUM(B164:B165)</f>
        <v>1133370.1501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1133370.1501</v>
      </c>
      <c r="AD163" s="41"/>
      <c r="AE163" s="79">
        <f t="shared" si="20"/>
        <v>1133.3701501</v>
      </c>
      <c r="AF163" s="128"/>
      <c r="AG163" s="63"/>
    </row>
    <row r="164" spans="1:33" ht="22.2" customHeight="1" x14ac:dyDescent="0.4">
      <c r="A164" s="21" t="s">
        <v>193</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194</v>
      </c>
      <c r="B165" s="44">
        <v>1133370.1501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1133370.1501</v>
      </c>
      <c r="AD165" s="41"/>
      <c r="AE165" s="52">
        <f t="shared" si="20"/>
        <v>1133.3701501</v>
      </c>
      <c r="AF165" s="128"/>
      <c r="AG165" s="111"/>
    </row>
    <row r="166" spans="1:33" ht="22.2" customHeight="1" x14ac:dyDescent="0.4">
      <c r="A166" s="22" t="s">
        <v>195</v>
      </c>
      <c r="B166" s="151">
        <f>SUM(B167:B168)</f>
        <v>131121.77660000001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131121.77660000001</v>
      </c>
      <c r="AD166" s="41"/>
      <c r="AE166" s="79">
        <f t="shared" si="20"/>
        <v>131.1217766</v>
      </c>
      <c r="AF166" s="128"/>
      <c r="AG166" s="63"/>
    </row>
    <row r="167" spans="1:33" ht="22.2" customHeight="1" x14ac:dyDescent="0.4">
      <c r="A167" s="21" t="s">
        <v>196</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197</v>
      </c>
      <c r="B168" s="44">
        <v>131121.77660000001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131121.77660000001</v>
      </c>
      <c r="AD168" s="41"/>
      <c r="AE168" s="52">
        <f t="shared" si="20"/>
        <v>131.1217766</v>
      </c>
      <c r="AF168" s="128"/>
      <c r="AG168" s="111"/>
    </row>
    <row r="169" spans="1:33" ht="22.2" customHeight="1" x14ac:dyDescent="0.4">
      <c r="A169" s="22" t="s">
        <v>198</v>
      </c>
      <c r="B169" s="59"/>
      <c r="C169" s="62">
        <f>SUM(C170:C171)</f>
        <v>127764.6459</v>
      </c>
      <c r="D169" s="62">
        <f>SUM(D170:D171)</f>
        <v>55153.651700000002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182918.29759999999</v>
      </c>
      <c r="AD169" s="41"/>
      <c r="AE169" s="52">
        <f t="shared" si="20"/>
        <v>182.91829759999999</v>
      </c>
      <c r="AF169" s="128"/>
      <c r="AG169" s="54">
        <f>SUM(AG170:AG171)</f>
        <v>751.55499999999995</v>
      </c>
    </row>
    <row r="170" spans="1:33" ht="22.2" customHeight="1" x14ac:dyDescent="0.4">
      <c r="A170" s="21" t="s">
        <v>199</v>
      </c>
      <c r="B170" s="59"/>
      <c r="C170" s="44">
        <v>103889.4359</v>
      </c>
      <c r="D170" s="44">
        <v>34522.351699999999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138411.78759999998</v>
      </c>
      <c r="AD170" s="41"/>
      <c r="AE170" s="52">
        <f t="shared" si="20"/>
        <v>138.41178759999997</v>
      </c>
      <c r="AF170" s="128"/>
      <c r="AG170" s="44">
        <v>621.52099999999996</v>
      </c>
    </row>
    <row r="171" spans="1:33" ht="22.2" customHeight="1" x14ac:dyDescent="0.4">
      <c r="A171" s="21" t="s">
        <v>200</v>
      </c>
      <c r="B171" s="59"/>
      <c r="C171" s="44">
        <v>23875.21</v>
      </c>
      <c r="D171" s="44">
        <v>20631.3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44506.509999999995</v>
      </c>
      <c r="AD171" s="41"/>
      <c r="AE171" s="52">
        <f t="shared" si="20"/>
        <v>44.506509999999992</v>
      </c>
      <c r="AF171" s="128"/>
      <c r="AG171" s="44">
        <v>130.03399999999999</v>
      </c>
    </row>
    <row r="172" spans="1:33" ht="22.2" customHeight="1" x14ac:dyDescent="0.4">
      <c r="A172" s="21" t="s">
        <v>201</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202</v>
      </c>
      <c r="B173" s="44">
        <v>-2888024.4972999999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-2888024.4972999999</v>
      </c>
      <c r="AD173" s="41"/>
      <c r="AE173" s="52">
        <f t="shared" si="20"/>
        <v>-2888.0244972999999</v>
      </c>
      <c r="AF173" s="128"/>
      <c r="AG173" s="111"/>
    </row>
    <row r="174" spans="1:33" ht="22.2" customHeight="1" thickBot="1" x14ac:dyDescent="0.45">
      <c r="A174" s="23" t="s">
        <v>203</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2"/>
      <c r="AC174" s="124"/>
      <c r="AD174" s="41"/>
      <c r="AE174" s="124"/>
      <c r="AF174" s="128"/>
      <c r="AG174" s="127"/>
    </row>
    <row r="175" spans="1:33" ht="22.2" customHeight="1" x14ac:dyDescent="0.4">
      <c r="A175" s="15" t="s">
        <v>204</v>
      </c>
      <c r="B175" s="33">
        <f>B176+B180+B181+B184+B187</f>
        <v>1434965.0889999999</v>
      </c>
      <c r="C175" s="33">
        <f>C176+C180+C181+C184+C187</f>
        <v>44873514.202111065</v>
      </c>
      <c r="D175" s="33">
        <f>D176+D180+D181+D184+D187</f>
        <v>5316570.6549999993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51625049.946111068</v>
      </c>
      <c r="AD175" s="97"/>
      <c r="AE175" s="81">
        <f t="shared" si="20"/>
        <v>51625.049946111067</v>
      </c>
      <c r="AF175" s="128"/>
      <c r="AG175" s="33">
        <f>AG176+AG180+AG181+AG184+AG187</f>
        <v>1540.4661430000001</v>
      </c>
    </row>
    <row r="176" spans="1:33" ht="22.2" customHeight="1" x14ac:dyDescent="0.4">
      <c r="A176" s="24" t="s">
        <v>205</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 customHeight="1" x14ac:dyDescent="0.4">
      <c r="A177" s="100" t="s">
        <v>206</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 customHeight="1" x14ac:dyDescent="0.4">
      <c r="A178" s="100" t="s">
        <v>207</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 customHeight="1" x14ac:dyDescent="0.4">
      <c r="A179" s="100" t="s">
        <v>208</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 customHeight="1" x14ac:dyDescent="0.4">
      <c r="A180" s="24" t="s">
        <v>209</v>
      </c>
      <c r="B180" s="63"/>
      <c r="C180" s="163">
        <v>126389.724</v>
      </c>
      <c r="D180" s="164">
        <v>89714.134000000005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216103.85800000001</v>
      </c>
      <c r="AD180" s="97"/>
      <c r="AE180" s="37">
        <f t="shared" si="20"/>
        <v>216.103858</v>
      </c>
      <c r="AF180" s="128"/>
      <c r="AG180" s="111"/>
    </row>
    <row r="181" spans="1:33" ht="22.2" customHeight="1" x14ac:dyDescent="0.4">
      <c r="A181" s="24" t="s">
        <v>210</v>
      </c>
      <c r="B181" s="62">
        <f>B182+B183</f>
        <v>1434965.0889999999</v>
      </c>
      <c r="C181" s="62">
        <f>C182+C183</f>
        <v>925124.07</v>
      </c>
      <c r="D181" s="62">
        <f>D182+D183</f>
        <v>210418.46799999999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2570507.6269999999</v>
      </c>
      <c r="AD181" s="97"/>
      <c r="AE181" s="37">
        <f t="shared" si="20"/>
        <v>2570.507627</v>
      </c>
      <c r="AF181" s="128"/>
      <c r="AG181" s="37">
        <f>AG182+AG183</f>
        <v>1540.4661430000001</v>
      </c>
    </row>
    <row r="182" spans="1:33" ht="22.2" customHeight="1" x14ac:dyDescent="0.4">
      <c r="A182" s="100" t="s">
        <v>211</v>
      </c>
      <c r="B182" s="44">
        <v>128606.459</v>
      </c>
      <c r="C182" s="44">
        <v>272.09500000000003</v>
      </c>
      <c r="D182" s="44">
        <v>8424.6990000000005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137303.253</v>
      </c>
      <c r="AD182" s="97"/>
      <c r="AE182" s="52">
        <f t="shared" si="20"/>
        <v>137.30325299999998</v>
      </c>
      <c r="AF182" s="128"/>
      <c r="AG182" s="111"/>
    </row>
    <row r="183" spans="1:33" ht="22.2" customHeight="1" x14ac:dyDescent="0.4">
      <c r="A183" s="100" t="s">
        <v>212</v>
      </c>
      <c r="B183" s="44">
        <v>1306358.6299999999</v>
      </c>
      <c r="C183" s="44">
        <v>924851.97499999998</v>
      </c>
      <c r="D183" s="44">
        <v>201993.769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2433204.3739999998</v>
      </c>
      <c r="AD183" s="97"/>
      <c r="AE183" s="52">
        <f t="shared" si="20"/>
        <v>2433.2043739999999</v>
      </c>
      <c r="AF183" s="128"/>
      <c r="AG183" s="44">
        <v>1540.4661430000001</v>
      </c>
    </row>
    <row r="184" spans="1:33" ht="22.2" customHeight="1" x14ac:dyDescent="0.4">
      <c r="A184" s="20" t="s">
        <v>213</v>
      </c>
      <c r="B184" s="63"/>
      <c r="C184" s="37">
        <f>SUM(C185:C186)</f>
        <v>21284315.269000001</v>
      </c>
      <c r="D184" s="37">
        <f>SUM(D185:D186)</f>
        <v>5016438.0529999994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26300753.322000001</v>
      </c>
      <c r="AD184" s="97"/>
      <c r="AE184" s="37">
        <f t="shared" si="20"/>
        <v>26300.753322</v>
      </c>
      <c r="AF184" s="128"/>
      <c r="AG184" s="76"/>
    </row>
    <row r="185" spans="1:33" ht="22.2" customHeight="1" x14ac:dyDescent="0.4">
      <c r="A185" s="100" t="s">
        <v>214</v>
      </c>
      <c r="B185" s="63"/>
      <c r="C185" s="44">
        <v>4230386.4139999999</v>
      </c>
      <c r="D185" s="44">
        <v>2656768.639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6887155.0529999994</v>
      </c>
      <c r="AD185" s="97"/>
      <c r="AE185" s="52">
        <f t="shared" si="20"/>
        <v>6887.1550529999995</v>
      </c>
      <c r="AF185" s="128"/>
      <c r="AG185" s="111"/>
    </row>
    <row r="186" spans="1:33" ht="22.2" customHeight="1" x14ac:dyDescent="0.4">
      <c r="A186" s="100" t="s">
        <v>215</v>
      </c>
      <c r="B186" s="63"/>
      <c r="C186" s="44">
        <v>17053928.855</v>
      </c>
      <c r="D186" s="44">
        <v>2359669.4139999999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19413598.269000001</v>
      </c>
      <c r="AD186" s="97"/>
      <c r="AE186" s="52">
        <f t="shared" si="20"/>
        <v>19413.598269000002</v>
      </c>
      <c r="AF186" s="128"/>
      <c r="AG186" s="111"/>
    </row>
    <row r="187" spans="1:33" ht="22.2" customHeight="1" x14ac:dyDescent="0.4">
      <c r="A187" s="20" t="s">
        <v>216</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2"/>
      <c r="AC187" s="125"/>
      <c r="AD187" s="97"/>
      <c r="AE187" s="125">
        <f t="shared" si="20"/>
        <v>0</v>
      </c>
      <c r="AF187" s="128"/>
      <c r="AG187" s="127"/>
    </row>
    <row r="188" spans="1:33" ht="22.2" customHeight="1" x14ac:dyDescent="0.4">
      <c r="A188" s="140" t="s">
        <v>217</v>
      </c>
      <c r="B188" s="137">
        <f t="shared" ref="B188:L188" si="26">B10+B68+B121+B175</f>
        <v>522212603.52740031</v>
      </c>
      <c r="C188" s="137">
        <f t="shared" si="26"/>
        <v>161047975.28410566</v>
      </c>
      <c r="D188" s="137">
        <f t="shared" si="26"/>
        <v>40515511.446636371</v>
      </c>
      <c r="E188" s="137">
        <f t="shared" si="26"/>
        <v>1438144.808</v>
      </c>
      <c r="F188" s="137">
        <f t="shared" si="26"/>
        <v>581833.52099999995</v>
      </c>
      <c r="G188" s="137">
        <f t="shared" si="26"/>
        <v>16441.045999999998</v>
      </c>
      <c r="H188" s="137">
        <f t="shared" si="26"/>
        <v>22094.205000000002</v>
      </c>
      <c r="I188" s="137">
        <f t="shared" si="26"/>
        <v>8989.1149999999998</v>
      </c>
      <c r="J188" s="137">
        <f t="shared" si="26"/>
        <v>5926146.8990000002</v>
      </c>
      <c r="K188" s="137">
        <f t="shared" si="26"/>
        <v>7041197.9890000001</v>
      </c>
      <c r="L188" s="137">
        <f t="shared" si="26"/>
        <v>161816.23199999999</v>
      </c>
      <c r="M188" s="137">
        <f>M175+M121+M68+M10</f>
        <v>426185.18699999998</v>
      </c>
      <c r="N188" s="137">
        <f t="shared" ref="N188:AC188" si="27">N10+N68+N121+N175</f>
        <v>402047.42</v>
      </c>
      <c r="O188" s="137">
        <f t="shared" si="27"/>
        <v>18260.866999999998</v>
      </c>
      <c r="P188" s="137">
        <f t="shared" si="27"/>
        <v>49746.311000000002</v>
      </c>
      <c r="Q188" s="137">
        <f t="shared" si="27"/>
        <v>8625.2309999999998</v>
      </c>
      <c r="R188" s="137">
        <f t="shared" si="27"/>
        <v>506.73200000000003</v>
      </c>
      <c r="S188" s="137">
        <f t="shared" si="27"/>
        <v>1512472.9080000001</v>
      </c>
      <c r="T188" s="137">
        <f t="shared" si="27"/>
        <v>1.3428972000000001</v>
      </c>
      <c r="U188" s="137">
        <f t="shared" si="27"/>
        <v>21209.63851099394</v>
      </c>
      <c r="V188" s="137">
        <f t="shared" si="27"/>
        <v>2192.2274053448291</v>
      </c>
      <c r="W188" s="137">
        <f t="shared" si="27"/>
        <v>176.54039999999998</v>
      </c>
      <c r="X188" s="137">
        <f t="shared" si="27"/>
        <v>1.9836000000000003E-3</v>
      </c>
      <c r="Y188" s="137">
        <f t="shared" si="27"/>
        <v>63.183557790751713</v>
      </c>
      <c r="Z188" s="137">
        <f t="shared" si="27"/>
        <v>1.3224000000000001E-3</v>
      </c>
      <c r="AA188" s="137">
        <f t="shared" si="27"/>
        <v>1825.5569765327227</v>
      </c>
      <c r="AB188" s="137">
        <f t="shared" si="27"/>
        <v>200840.31520568483</v>
      </c>
      <c r="AC188" s="137">
        <f t="shared" si="27"/>
        <v>741616907.53740203</v>
      </c>
      <c r="AD188" s="97"/>
      <c r="AE188" s="137">
        <f t="shared" si="20"/>
        <v>741616.907537402</v>
      </c>
      <c r="AF188" s="91"/>
      <c r="AG188" s="147">
        <f>AG175+AG121+AG68+AG10</f>
        <v>70229.694881810035</v>
      </c>
    </row>
    <row r="189" spans="1:33" ht="22.2" customHeight="1" thickBot="1" x14ac:dyDescent="0.45">
      <c r="A189" s="153"/>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82"/>
      <c r="AC189" s="155"/>
      <c r="AD189" s="41"/>
      <c r="AE189" s="155"/>
      <c r="AF189" s="91"/>
      <c r="AG189" s="83"/>
    </row>
    <row r="190" spans="1:33" ht="22.2" customHeight="1" x14ac:dyDescent="0.4">
      <c r="A190" s="16" t="s">
        <v>218</v>
      </c>
      <c r="B190" s="62">
        <f>B191+B192</f>
        <v>4697421.21</v>
      </c>
      <c r="C190" s="62">
        <f>C191+C192</f>
        <v>905.66399999999999</v>
      </c>
      <c r="D190" s="62">
        <f>D191+D192</f>
        <v>34285.847800000003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4732612.7217999995</v>
      </c>
      <c r="AD190" s="41"/>
      <c r="AE190" s="37">
        <f t="shared" si="20"/>
        <v>4732.6127217999992</v>
      </c>
      <c r="AF190" s="91"/>
      <c r="AG190" s="37">
        <f>AG191</f>
        <v>66.453699999999998</v>
      </c>
    </row>
    <row r="191" spans="1:33" ht="22.2" customHeight="1" x14ac:dyDescent="0.4">
      <c r="A191" s="25" t="s">
        <v>219</v>
      </c>
      <c r="B191" s="44">
        <v>4697421.21</v>
      </c>
      <c r="C191" s="44">
        <v>905.66399999999999</v>
      </c>
      <c r="D191" s="44">
        <v>34285.847800000003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4732612.7217999995</v>
      </c>
      <c r="AD191" s="41"/>
      <c r="AE191" s="52">
        <f t="shared" si="20"/>
        <v>4732.6127217999992</v>
      </c>
      <c r="AF191" s="91"/>
      <c r="AG191" s="52">
        <v>66.453699999999998</v>
      </c>
    </row>
    <row r="192" spans="1:33" ht="22.2" customHeight="1" thickBot="1" x14ac:dyDescent="0.45">
      <c r="A192" s="26" t="s">
        <v>220</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6"/>
      <c r="AC192" s="126"/>
      <c r="AD192" s="41"/>
      <c r="AE192" s="126"/>
      <c r="AF192" s="91"/>
      <c r="AG192" s="109"/>
    </row>
    <row r="193" spans="1:33" ht="22.2" customHeight="1" thickBot="1" x14ac:dyDescent="0.45">
      <c r="A193" s="118" t="s">
        <v>221</v>
      </c>
      <c r="B193" s="161">
        <v>26524318</v>
      </c>
      <c r="C193" s="143"/>
      <c r="D193" s="142"/>
      <c r="E193" s="141"/>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8"/>
      <c r="AC193" s="31">
        <f>SUM(B193:AB193)</f>
        <v>26524318</v>
      </c>
      <c r="AE193" s="31">
        <f t="shared" si="20"/>
        <v>26524.317999999999</v>
      </c>
      <c r="AF193" s="91"/>
      <c r="AG193" s="87"/>
    </row>
    <row r="194" spans="1:33" ht="27.6" customHeight="1" thickBot="1" x14ac:dyDescent="0.45">
      <c r="A194" s="88"/>
      <c r="AB194" s="89"/>
    </row>
    <row r="195" spans="1:33" ht="66" customHeight="1" x14ac:dyDescent="0.4">
      <c r="A195" s="17"/>
      <c r="B195" s="146" t="s">
        <v>222</v>
      </c>
      <c r="C195" s="148">
        <v>1</v>
      </c>
      <c r="D195" s="183" t="s">
        <v>223</v>
      </c>
      <c r="E195" s="183"/>
      <c r="F195" s="183"/>
      <c r="G195" s="183"/>
      <c r="H195" s="183"/>
      <c r="I195" s="183"/>
      <c r="J195" s="183"/>
      <c r="K195" s="183"/>
      <c r="L195" s="183"/>
      <c r="M195" s="183"/>
      <c r="N195" s="184"/>
      <c r="AC195" s="90"/>
    </row>
    <row r="196" spans="1:33" ht="37.200000000000003" customHeight="1" x14ac:dyDescent="0.4">
      <c r="B196" s="144"/>
      <c r="C196" s="149">
        <v>2</v>
      </c>
      <c r="D196" s="185" t="s">
        <v>224</v>
      </c>
      <c r="E196" s="185"/>
      <c r="F196" s="185"/>
      <c r="G196" s="185"/>
      <c r="H196" s="185"/>
      <c r="I196" s="185"/>
      <c r="J196" s="185"/>
      <c r="K196" s="185"/>
      <c r="L196" s="185"/>
      <c r="M196" s="185"/>
      <c r="N196" s="186"/>
    </row>
    <row r="197" spans="1:33" ht="42.6" customHeight="1" x14ac:dyDescent="0.4">
      <c r="A197" s="88"/>
      <c r="B197" s="144"/>
      <c r="C197" s="149">
        <v>3</v>
      </c>
      <c r="D197" s="185" t="s">
        <v>225</v>
      </c>
      <c r="E197" s="185"/>
      <c r="F197" s="185"/>
      <c r="G197" s="185"/>
      <c r="H197" s="185"/>
      <c r="I197" s="185"/>
      <c r="J197" s="185"/>
      <c r="K197" s="185"/>
      <c r="L197" s="185"/>
      <c r="M197" s="185"/>
      <c r="N197" s="186"/>
    </row>
    <row r="198" spans="1:33" ht="27.6" customHeight="1" x14ac:dyDescent="0.4">
      <c r="A198" s="88"/>
      <c r="B198" s="144"/>
      <c r="C198" s="149">
        <v>4</v>
      </c>
      <c r="D198" s="185" t="s">
        <v>226</v>
      </c>
      <c r="E198" s="185"/>
      <c r="F198" s="185"/>
      <c r="G198" s="185"/>
      <c r="H198" s="185"/>
      <c r="I198" s="185"/>
      <c r="J198" s="185"/>
      <c r="K198" s="185"/>
      <c r="L198" s="185"/>
      <c r="M198" s="185"/>
      <c r="N198" s="186"/>
    </row>
    <row r="199" spans="1:33" ht="35.25" customHeight="1" thickBot="1" x14ac:dyDescent="0.45">
      <c r="A199" s="88"/>
      <c r="B199" s="145"/>
      <c r="C199" s="150">
        <v>5</v>
      </c>
      <c r="D199" s="187" t="s">
        <v>227</v>
      </c>
      <c r="E199" s="187"/>
      <c r="F199" s="187"/>
      <c r="G199" s="187"/>
      <c r="H199" s="187"/>
      <c r="I199" s="187"/>
      <c r="J199" s="187"/>
      <c r="K199" s="187"/>
      <c r="L199" s="187"/>
      <c r="M199" s="187"/>
      <c r="N199" s="188"/>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FED9-D993-4CD0-AE62-428A5E8BCB21}">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6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69"/>
      <c r="B3" s="5">
        <v>2016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70"/>
      <c r="B4" s="171" t="s">
        <v>3</v>
      </c>
      <c r="C4" s="171" t="s">
        <v>4</v>
      </c>
      <c r="D4" s="171" t="s">
        <v>5</v>
      </c>
      <c r="E4" s="165" t="s">
        <v>6</v>
      </c>
      <c r="F4" s="166"/>
      <c r="G4" s="166"/>
      <c r="H4" s="166"/>
      <c r="I4" s="166"/>
      <c r="J4" s="166"/>
      <c r="K4" s="166"/>
      <c r="L4" s="166"/>
      <c r="M4" s="166"/>
      <c r="N4" s="166"/>
      <c r="O4" s="166"/>
      <c r="P4" s="166"/>
      <c r="Q4" s="166"/>
      <c r="R4" s="166"/>
      <c r="S4" s="166"/>
      <c r="T4" s="167"/>
      <c r="U4" s="165" t="s">
        <v>7</v>
      </c>
      <c r="V4" s="166"/>
      <c r="W4" s="166"/>
      <c r="X4" s="166"/>
      <c r="Y4" s="166"/>
      <c r="Z4" s="167"/>
      <c r="AA4" s="173" t="s">
        <v>8</v>
      </c>
      <c r="AB4" s="171" t="s">
        <v>9</v>
      </c>
      <c r="AC4" s="175" t="s">
        <v>10</v>
      </c>
      <c r="AD4" s="91"/>
      <c r="AE4" s="175" t="s">
        <v>11</v>
      </c>
      <c r="AF4" s="91"/>
      <c r="AG4" s="177" t="s">
        <v>12</v>
      </c>
    </row>
    <row r="5" spans="1:33" ht="27.6" customHeight="1" thickBot="1" x14ac:dyDescent="0.45">
      <c r="A5" s="170"/>
      <c r="B5" s="172"/>
      <c r="C5" s="172"/>
      <c r="D5" s="17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74"/>
      <c r="AB5" s="172"/>
      <c r="AC5" s="176"/>
      <c r="AD5" s="91"/>
      <c r="AE5" s="176"/>
      <c r="AF5" s="91"/>
      <c r="AG5" s="178"/>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76"/>
      <c r="AD6" s="92"/>
      <c r="AE6" s="176"/>
      <c r="AF6" s="92"/>
      <c r="AG6" s="179"/>
    </row>
    <row r="7" spans="1:33" ht="27.6" customHeight="1" thickBot="1" x14ac:dyDescent="0.45">
      <c r="A7" s="133" t="s">
        <v>36</v>
      </c>
      <c r="B7" s="134">
        <f>(B10+B68+B121+B175)+(B156+B159+B162+B165+B168)</f>
        <v>576221842.00605118</v>
      </c>
      <c r="C7" s="134">
        <f>C10+C68+C121+C150+C175</f>
        <v>163293867.16441539</v>
      </c>
      <c r="D7" s="134">
        <f>D10+D68+D121+D150+D175</f>
        <v>35727820.575151265</v>
      </c>
      <c r="E7" s="134">
        <f>E68</f>
        <v>447.51600000000008</v>
      </c>
      <c r="F7" s="134">
        <f t="shared" ref="F7:AB7" si="0">F68</f>
        <v>820033.071</v>
      </c>
      <c r="G7" s="134">
        <f t="shared" si="0"/>
        <v>17542.148000000001</v>
      </c>
      <c r="H7" s="134">
        <f t="shared" si="0"/>
        <v>23630.975999999999</v>
      </c>
      <c r="I7" s="134">
        <f t="shared" si="0"/>
        <v>286.49599999999998</v>
      </c>
      <c r="J7" s="134">
        <f t="shared" si="0"/>
        <v>6267306.7520000003</v>
      </c>
      <c r="K7" s="134">
        <f t="shared" si="0"/>
        <v>7295438.733</v>
      </c>
      <c r="L7" s="134">
        <f t="shared" si="0"/>
        <v>187784.92600000001</v>
      </c>
      <c r="M7" s="134">
        <f t="shared" si="0"/>
        <v>495597.141</v>
      </c>
      <c r="N7" s="134">
        <f t="shared" si="0"/>
        <v>462335.571</v>
      </c>
      <c r="O7" s="134">
        <f t="shared" si="0"/>
        <v>26662.978999999999</v>
      </c>
      <c r="P7" s="134">
        <f t="shared" si="0"/>
        <v>60393.222999999998</v>
      </c>
      <c r="Q7" s="134">
        <f t="shared" si="0"/>
        <v>4774.2340000000004</v>
      </c>
      <c r="R7" s="134">
        <f t="shared" si="0"/>
        <v>486.46300000000002</v>
      </c>
      <c r="S7" s="134">
        <f t="shared" si="0"/>
        <v>1477369.6359999999</v>
      </c>
      <c r="T7" s="134">
        <f t="shared" si="0"/>
        <v>1.4659757999999998</v>
      </c>
      <c r="U7" s="134">
        <f t="shared" si="0"/>
        <v>22404.692673183858</v>
      </c>
      <c r="V7" s="134">
        <f t="shared" si="0"/>
        <v>2343.3500898166767</v>
      </c>
      <c r="W7" s="134">
        <f t="shared" si="0"/>
        <v>192.72060000000002</v>
      </c>
      <c r="X7" s="134">
        <f t="shared" si="0"/>
        <v>2.1654000000000001E-3</v>
      </c>
      <c r="Y7" s="134">
        <f t="shared" si="0"/>
        <v>68.96284708224762</v>
      </c>
      <c r="Z7" s="134">
        <f t="shared" si="0"/>
        <v>1.4436E-3</v>
      </c>
      <c r="AA7" s="134">
        <f t="shared" si="0"/>
        <v>1967.6591982390892</v>
      </c>
      <c r="AB7" s="134">
        <f t="shared" si="0"/>
        <v>217012.24665952529</v>
      </c>
      <c r="AC7" s="139">
        <f>SUM(B7:AB7)</f>
        <v>792627610.71227074</v>
      </c>
      <c r="AE7" s="139">
        <f>AC7/1000</f>
        <v>792627.61071227072</v>
      </c>
      <c r="AF7" s="130"/>
      <c r="AG7" s="180">
        <f>AG10+AG68+AG121+AG150+AG175</f>
        <v>74039.371766157623</v>
      </c>
    </row>
    <row r="8" spans="1:33" ht="27.6" customHeight="1" thickBot="1" x14ac:dyDescent="0.45">
      <c r="A8" s="131" t="s">
        <v>37</v>
      </c>
      <c r="B8" s="132">
        <f>(B10+B68+B121+B175)</f>
        <v>553075390.1965512</v>
      </c>
      <c r="C8" s="132">
        <f t="shared" ref="C8:AB8" si="1">(C10+C68+C121+C175)</f>
        <v>162994774.7318154</v>
      </c>
      <c r="D8" s="132">
        <f t="shared" si="1"/>
        <v>35566820.879651263</v>
      </c>
      <c r="E8" s="132">
        <f t="shared" si="1"/>
        <v>447.51600000000008</v>
      </c>
      <c r="F8" s="132">
        <f t="shared" si="1"/>
        <v>820033.071</v>
      </c>
      <c r="G8" s="132">
        <f t="shared" si="1"/>
        <v>17542.148000000001</v>
      </c>
      <c r="H8" s="132">
        <f t="shared" si="1"/>
        <v>23630.975999999999</v>
      </c>
      <c r="I8" s="132">
        <f t="shared" si="1"/>
        <v>286.49599999999998</v>
      </c>
      <c r="J8" s="132">
        <f t="shared" si="1"/>
        <v>6267306.7520000003</v>
      </c>
      <c r="K8" s="132">
        <f t="shared" si="1"/>
        <v>7295438.733</v>
      </c>
      <c r="L8" s="132">
        <f t="shared" si="1"/>
        <v>187784.92600000001</v>
      </c>
      <c r="M8" s="132">
        <f t="shared" si="1"/>
        <v>495597.141</v>
      </c>
      <c r="N8" s="132">
        <f t="shared" si="1"/>
        <v>462335.571</v>
      </c>
      <c r="O8" s="132">
        <f t="shared" si="1"/>
        <v>26662.978999999999</v>
      </c>
      <c r="P8" s="132">
        <f t="shared" si="1"/>
        <v>60393.222999999998</v>
      </c>
      <c r="Q8" s="132">
        <f t="shared" si="1"/>
        <v>4774.2340000000004</v>
      </c>
      <c r="R8" s="132">
        <f t="shared" si="1"/>
        <v>486.46300000000002</v>
      </c>
      <c r="S8" s="132">
        <f t="shared" si="1"/>
        <v>1477369.6359999999</v>
      </c>
      <c r="T8" s="132">
        <f t="shared" si="1"/>
        <v>1.4659757999999998</v>
      </c>
      <c r="U8" s="132">
        <f t="shared" si="1"/>
        <v>22404.692673183858</v>
      </c>
      <c r="V8" s="132">
        <f t="shared" si="1"/>
        <v>2343.3500898166767</v>
      </c>
      <c r="W8" s="132">
        <f t="shared" si="1"/>
        <v>192.72060000000002</v>
      </c>
      <c r="X8" s="132">
        <f t="shared" si="1"/>
        <v>2.1654000000000001E-3</v>
      </c>
      <c r="Y8" s="132">
        <f t="shared" si="1"/>
        <v>68.96284708224762</v>
      </c>
      <c r="Z8" s="132">
        <f t="shared" si="1"/>
        <v>1.4436E-3</v>
      </c>
      <c r="AA8" s="132">
        <f t="shared" si="1"/>
        <v>1967.6591982390892</v>
      </c>
      <c r="AB8" s="132">
        <f t="shared" si="1"/>
        <v>217012.24665952529</v>
      </c>
      <c r="AC8" s="135">
        <f>SUM(B8:AB8)</f>
        <v>769021066.77467084</v>
      </c>
      <c r="AE8" s="135">
        <f>AC8/1000</f>
        <v>769021.06677467085</v>
      </c>
      <c r="AF8" s="130"/>
      <c r="AG8" s="181"/>
    </row>
    <row r="9" spans="1:33" ht="27.6" customHeight="1" thickBot="1" x14ac:dyDescent="0.45">
      <c r="A9" s="136" t="s">
        <v>38</v>
      </c>
      <c r="B9" s="137">
        <f>B10+B68+B121+B150+B175</f>
        <v>369329645.47945124</v>
      </c>
      <c r="C9" s="137">
        <f t="shared" ref="C9:D9" si="2">C10+C68+C121+C150+C175</f>
        <v>163293867.16441539</v>
      </c>
      <c r="D9" s="137">
        <f t="shared" si="2"/>
        <v>35727820.575151265</v>
      </c>
      <c r="E9" s="137">
        <f t="shared" ref="E9:AB9" si="3">E10+E68+E121+E175</f>
        <v>447.51600000000008</v>
      </c>
      <c r="F9" s="137">
        <f t="shared" si="3"/>
        <v>820033.071</v>
      </c>
      <c r="G9" s="137">
        <f t="shared" si="3"/>
        <v>17542.148000000001</v>
      </c>
      <c r="H9" s="137">
        <f t="shared" si="3"/>
        <v>23630.975999999999</v>
      </c>
      <c r="I9" s="137">
        <f t="shared" si="3"/>
        <v>286.49599999999998</v>
      </c>
      <c r="J9" s="137">
        <f t="shared" si="3"/>
        <v>6267306.7520000003</v>
      </c>
      <c r="K9" s="137">
        <f t="shared" si="3"/>
        <v>7295438.733</v>
      </c>
      <c r="L9" s="137">
        <f t="shared" si="3"/>
        <v>187784.92600000001</v>
      </c>
      <c r="M9" s="137">
        <f t="shared" si="3"/>
        <v>495597.141</v>
      </c>
      <c r="N9" s="137">
        <f t="shared" si="3"/>
        <v>462335.571</v>
      </c>
      <c r="O9" s="137">
        <f t="shared" si="3"/>
        <v>26662.978999999999</v>
      </c>
      <c r="P9" s="137">
        <f t="shared" si="3"/>
        <v>60393.222999999998</v>
      </c>
      <c r="Q9" s="137">
        <f t="shared" si="3"/>
        <v>4774.2340000000004</v>
      </c>
      <c r="R9" s="137">
        <f t="shared" si="3"/>
        <v>486.46300000000002</v>
      </c>
      <c r="S9" s="137">
        <f t="shared" si="3"/>
        <v>1477369.6359999999</v>
      </c>
      <c r="T9" s="137">
        <f t="shared" si="3"/>
        <v>1.4659757999999998</v>
      </c>
      <c r="U9" s="137">
        <f t="shared" si="3"/>
        <v>22404.692673183858</v>
      </c>
      <c r="V9" s="137">
        <f t="shared" si="3"/>
        <v>2343.3500898166767</v>
      </c>
      <c r="W9" s="137">
        <f t="shared" si="3"/>
        <v>192.72060000000002</v>
      </c>
      <c r="X9" s="137">
        <f t="shared" si="3"/>
        <v>2.1654000000000001E-3</v>
      </c>
      <c r="Y9" s="137">
        <f t="shared" si="3"/>
        <v>68.96284708224762</v>
      </c>
      <c r="Z9" s="137">
        <f t="shared" si="3"/>
        <v>1.4436E-3</v>
      </c>
      <c r="AA9" s="137">
        <f t="shared" si="3"/>
        <v>1967.6591982390892</v>
      </c>
      <c r="AB9" s="137">
        <f t="shared" si="3"/>
        <v>217012.24665952529</v>
      </c>
      <c r="AC9" s="138">
        <f>SUM(B9:AB9)</f>
        <v>585735414.18567085</v>
      </c>
      <c r="AE9" s="138">
        <f t="shared" ref="AE9:AE72" si="4">AC9/1000</f>
        <v>585735.4141856709</v>
      </c>
      <c r="AF9" s="129"/>
      <c r="AG9" s="182"/>
    </row>
    <row r="10" spans="1:33" ht="22.2" customHeight="1" x14ac:dyDescent="0.4">
      <c r="A10" s="32" t="s">
        <v>39</v>
      </c>
      <c r="B10" s="33">
        <f>B11+B53</f>
        <v>501285961.57536185</v>
      </c>
      <c r="C10" s="33">
        <f>C11+C53</f>
        <v>25165665.690042231</v>
      </c>
      <c r="D10" s="33">
        <f>D11+D53</f>
        <v>3017967.417715841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529469594.68311989</v>
      </c>
      <c r="AD10" s="41"/>
      <c r="AE10" s="57">
        <f t="shared" si="4"/>
        <v>529469.59468311991</v>
      </c>
      <c r="AF10" s="128"/>
      <c r="AG10" s="36">
        <f>AG11+AG53</f>
        <v>66182.492872157629</v>
      </c>
    </row>
    <row r="11" spans="1:33" ht="22.2" customHeight="1" x14ac:dyDescent="0.4">
      <c r="A11" s="20" t="s">
        <v>40</v>
      </c>
      <c r="B11" s="37">
        <f>B12+B18+B43+B49</f>
        <v>483115848.84536183</v>
      </c>
      <c r="C11" s="37">
        <f>C12+C18+C43+C49</f>
        <v>1129598.0100422325</v>
      </c>
      <c r="D11" s="37">
        <f>D12+D18+D43+D49</f>
        <v>2968728.917715841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487214175.77311987</v>
      </c>
      <c r="AD11" s="41"/>
      <c r="AE11" s="37">
        <f t="shared" si="4"/>
        <v>487214.17577311984</v>
      </c>
      <c r="AF11" s="128"/>
      <c r="AG11" s="37">
        <f>AG12+AG18+AG43+AG49</f>
        <v>61376.816760027934</v>
      </c>
    </row>
    <row r="12" spans="1:33" ht="22.2" customHeight="1" x14ac:dyDescent="0.4">
      <c r="A12" s="20" t="s">
        <v>41</v>
      </c>
      <c r="B12" s="37">
        <f>B13+B14+B15</f>
        <v>211352405.06590652</v>
      </c>
      <c r="C12" s="37">
        <f>C13+C14+C15</f>
        <v>175861.79972266886</v>
      </c>
      <c r="D12" s="37">
        <f>D13+D14+D15</f>
        <v>343989.12488850678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211872255.99051768</v>
      </c>
      <c r="AD12" s="41"/>
      <c r="AE12" s="37">
        <f t="shared" si="4"/>
        <v>211872.25599051767</v>
      </c>
      <c r="AF12" s="128"/>
      <c r="AG12" s="37">
        <f>SUM(AG13:AG15)</f>
        <v>8501.1357863900921</v>
      </c>
    </row>
    <row r="13" spans="1:33" ht="22.2" customHeight="1" x14ac:dyDescent="0.4">
      <c r="A13" s="21" t="s">
        <v>42</v>
      </c>
      <c r="B13" s="44">
        <v>171549436.172802</v>
      </c>
      <c r="C13" s="44">
        <v>153671.90070952199</v>
      </c>
      <c r="D13" s="44">
        <v>317055.67643734999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172020163.74994886</v>
      </c>
      <c r="AD13" s="41"/>
      <c r="AE13" s="52">
        <f t="shared" si="4"/>
        <v>172020.16374994887</v>
      </c>
      <c r="AF13" s="128"/>
      <c r="AG13" s="44">
        <v>7248.37014929829</v>
      </c>
    </row>
    <row r="14" spans="1:33" ht="22.2" customHeight="1" x14ac:dyDescent="0.4">
      <c r="A14" s="21" t="s">
        <v>43</v>
      </c>
      <c r="B14" s="44">
        <v>12702299.681422999</v>
      </c>
      <c r="C14" s="44">
        <v>8329.3544897932607</v>
      </c>
      <c r="D14" s="44">
        <v>11678.3906836972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12722307.426596491</v>
      </c>
      <c r="AD14" s="41"/>
      <c r="AE14" s="52">
        <f t="shared" si="4"/>
        <v>12722.307426596491</v>
      </c>
      <c r="AF14" s="128"/>
      <c r="AG14" s="44">
        <v>947.484737440765</v>
      </c>
    </row>
    <row r="15" spans="1:33" ht="22.2" customHeight="1" x14ac:dyDescent="0.4">
      <c r="A15" s="21" t="s">
        <v>44</v>
      </c>
      <c r="B15" s="49">
        <f>B16+B17</f>
        <v>27100669.2116815</v>
      </c>
      <c r="C15" s="49">
        <f t="shared" ref="C15:D15" si="5">C16+C17</f>
        <v>13860.544523353599</v>
      </c>
      <c r="D15" s="49">
        <f t="shared" si="5"/>
        <v>15255.057767459601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27129784.813972313</v>
      </c>
      <c r="AD15" s="41"/>
      <c r="AE15" s="52">
        <f t="shared" si="4"/>
        <v>27129.784813972314</v>
      </c>
      <c r="AF15" s="128"/>
      <c r="AG15" s="44">
        <v>305.28089965103698</v>
      </c>
    </row>
    <row r="16" spans="1:33" ht="22.2" customHeight="1" x14ac:dyDescent="0.4">
      <c r="A16" s="98" t="s">
        <v>45</v>
      </c>
      <c r="B16" s="44">
        <v>1206871.2579999999</v>
      </c>
      <c r="C16" s="44">
        <v>6.0339999999999998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1206877.2919999999</v>
      </c>
      <c r="AD16" s="41"/>
      <c r="AE16" s="52">
        <f t="shared" si="4"/>
        <v>1206.8772919999999</v>
      </c>
      <c r="AF16" s="128"/>
      <c r="AG16" s="73"/>
    </row>
    <row r="17" spans="1:33" ht="22.2" customHeight="1" x14ac:dyDescent="0.4">
      <c r="A17" s="99" t="s">
        <v>46</v>
      </c>
      <c r="B17" s="44">
        <v>25893797.953681499</v>
      </c>
      <c r="C17" s="44">
        <v>13854.5105233536</v>
      </c>
      <c r="D17" s="44">
        <v>15255.057767459601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25922907.52197231</v>
      </c>
      <c r="AD17" s="41"/>
      <c r="AE17" s="52">
        <f t="shared" si="4"/>
        <v>25922.907521972309</v>
      </c>
      <c r="AF17" s="128"/>
      <c r="AG17" s="44">
        <v>305.28089965103698</v>
      </c>
    </row>
    <row r="18" spans="1:33" ht="22.2" customHeight="1" x14ac:dyDescent="0.4">
      <c r="A18" s="20" t="s">
        <v>47</v>
      </c>
      <c r="B18" s="37">
        <f>B19+B20+B21+B25+B26+B33+B35+B37+B39</f>
        <v>61765881.648455247</v>
      </c>
      <c r="C18" s="37">
        <f>C19+C20+C21+C25+C26+C33+C35+C37+C39</f>
        <v>97164.552419563537</v>
      </c>
      <c r="D18" s="37">
        <f>D19+D20+D21+D25+D26+D33+D35+D37+D39</f>
        <v>128585.1274273344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61991631.32830216</v>
      </c>
      <c r="AD18" s="110"/>
      <c r="AE18" s="37">
        <f t="shared" si="4"/>
        <v>61991.631328302159</v>
      </c>
      <c r="AF18" s="128"/>
      <c r="AG18" s="37">
        <f>SUM(AG19,AG20,AG21,AG25,AG26,AG32,AG33,AG34,AG35,AG36,AG37,AG38,AG39)</f>
        <v>788.33703037784653</v>
      </c>
    </row>
    <row r="19" spans="1:33" ht="22.2" customHeight="1" x14ac:dyDescent="0.4">
      <c r="A19" s="100" t="s">
        <v>48</v>
      </c>
      <c r="B19" s="44">
        <v>5208451.7686534831</v>
      </c>
      <c r="C19" s="44">
        <v>2618.2304096747266</v>
      </c>
      <c r="D19" s="44">
        <v>2637.7572312025236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5213707.7562943604</v>
      </c>
      <c r="AD19" s="110"/>
      <c r="AE19" s="44">
        <f t="shared" si="4"/>
        <v>5213.7077562943605</v>
      </c>
      <c r="AF19" s="128"/>
      <c r="AG19" s="44">
        <v>20.554662030796969</v>
      </c>
    </row>
    <row r="20" spans="1:33" ht="22.2" customHeight="1" x14ac:dyDescent="0.4">
      <c r="A20" s="100" t="s">
        <v>49</v>
      </c>
      <c r="B20" s="44">
        <v>1547236.8623146839</v>
      </c>
      <c r="C20" s="44">
        <v>972.66049894227842</v>
      </c>
      <c r="D20" s="44">
        <v>1340.2431284209374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1549549.7659420471</v>
      </c>
      <c r="AD20" s="110"/>
      <c r="AE20" s="52">
        <f t="shared" si="4"/>
        <v>1549.5497659420471</v>
      </c>
      <c r="AF20" s="128"/>
      <c r="AG20" s="44">
        <v>11.044787758929285</v>
      </c>
    </row>
    <row r="21" spans="1:33" ht="22.2" customHeight="1" x14ac:dyDescent="0.4">
      <c r="A21" s="100" t="s">
        <v>50</v>
      </c>
      <c r="B21" s="44">
        <f>SUM(B22:B24)</f>
        <v>4784214.2274505068</v>
      </c>
      <c r="C21" s="44">
        <f>SUM(C22:C24)</f>
        <v>2593.7350408646898</v>
      </c>
      <c r="D21" s="44">
        <f>SUM(D22:D24)</f>
        <v>2917.9345598767059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4789725.8970512487</v>
      </c>
      <c r="AD21" s="110"/>
      <c r="AE21" s="52">
        <f t="shared" si="4"/>
        <v>4789.7258970512485</v>
      </c>
      <c r="AF21" s="128"/>
      <c r="AG21" s="44">
        <v>21.738124131647314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4750221.1884169467</v>
      </c>
      <c r="C23" s="44">
        <v>2569.6302888646896</v>
      </c>
      <c r="D23" s="44">
        <v>2882.669207876706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4755673.4879136877</v>
      </c>
      <c r="AD23" s="110"/>
      <c r="AE23" s="52">
        <f t="shared" si="4"/>
        <v>4755.6734879136875</v>
      </c>
      <c r="AF23" s="128"/>
      <c r="AG23" s="44">
        <v>21.624542775980757</v>
      </c>
    </row>
    <row r="24" spans="1:33" ht="22.2" customHeight="1" x14ac:dyDescent="0.4">
      <c r="A24" s="99" t="s">
        <v>53</v>
      </c>
      <c r="B24" s="44">
        <v>33993.039033560002</v>
      </c>
      <c r="C24" s="44">
        <v>24.104751999999998</v>
      </c>
      <c r="D24" s="44">
        <v>35.265351999999993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34052.409137560004</v>
      </c>
      <c r="AD24" s="110"/>
      <c r="AE24" s="52">
        <f t="shared" si="4"/>
        <v>34.052409137560005</v>
      </c>
      <c r="AF24" s="128"/>
      <c r="AG24" s="44">
        <v>0.11358135566655723</v>
      </c>
    </row>
    <row r="25" spans="1:33" ht="22.2" customHeight="1" x14ac:dyDescent="0.4">
      <c r="A25" s="100" t="s">
        <v>54</v>
      </c>
      <c r="B25" s="44">
        <v>2824743.4671753002</v>
      </c>
      <c r="C25" s="44">
        <v>1804.5725787079452</v>
      </c>
      <c r="D25" s="44">
        <v>2463.9457542036744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2829011.9855082119</v>
      </c>
      <c r="AD25" s="110"/>
      <c r="AE25" s="52">
        <f t="shared" si="4"/>
        <v>2829.0119855082121</v>
      </c>
      <c r="AF25" s="128"/>
      <c r="AG25" s="44">
        <v>41.46991436058989</v>
      </c>
    </row>
    <row r="26" spans="1:33" ht="22.2" customHeight="1" x14ac:dyDescent="0.4">
      <c r="A26" s="100" t="s">
        <v>55</v>
      </c>
      <c r="B26" s="44">
        <f>SUM(B27:B31)</f>
        <v>589238.5370237946</v>
      </c>
      <c r="C26" s="44">
        <f>SUM(C27:C31)</f>
        <v>31927.707920997454</v>
      </c>
      <c r="D26" s="44">
        <f>SUM(D27:D31)</f>
        <v>40522.102824595771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661688.34776938776</v>
      </c>
      <c r="AD26" s="110"/>
      <c r="AE26" s="52">
        <f t="shared" si="4"/>
        <v>661.68834776938775</v>
      </c>
      <c r="AF26" s="128"/>
      <c r="AG26" s="44">
        <v>414.5308036450582</v>
      </c>
    </row>
    <row r="27" spans="1:33" ht="22.2" customHeight="1" x14ac:dyDescent="0.4">
      <c r="A27" s="99" t="s">
        <v>56</v>
      </c>
      <c r="B27" s="44">
        <v>0</v>
      </c>
      <c r="C27" s="44">
        <v>31409.758114140586</v>
      </c>
      <c r="D27" s="44">
        <v>39636.123334510732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71045.881448651315</v>
      </c>
      <c r="AD27" s="110"/>
      <c r="AE27" s="52">
        <f t="shared" si="4"/>
        <v>71.045881448651315</v>
      </c>
      <c r="AF27" s="128"/>
      <c r="AG27" s="44">
        <v>407.95292979199257</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509805.23445590452</v>
      </c>
      <c r="C29" s="44">
        <v>433.90111463376303</v>
      </c>
      <c r="D29" s="44">
        <v>726.88732266272393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510966.02289320104</v>
      </c>
      <c r="AD29" s="110"/>
      <c r="AE29" s="52">
        <f t="shared" si="4"/>
        <v>510.96602289320106</v>
      </c>
      <c r="AF29" s="128"/>
      <c r="AG29" s="44">
        <v>2.2767675490869901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79433.302567890118</v>
      </c>
      <c r="C31" s="44">
        <v>84.048692223108205</v>
      </c>
      <c r="D31" s="44">
        <v>159.092167422312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79676.443427535531</v>
      </c>
      <c r="AD31" s="110"/>
      <c r="AE31" s="52">
        <f t="shared" si="4"/>
        <v>79.676443427535531</v>
      </c>
      <c r="AF31" s="128"/>
      <c r="AG31" s="44">
        <v>4.3011063039786714</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470781.82959175186</v>
      </c>
      <c r="C33" s="44">
        <v>272.10231085024259</v>
      </c>
      <c r="D33" s="44">
        <v>333.46827397893293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471387.400176581</v>
      </c>
      <c r="AD33" s="110"/>
      <c r="AE33" s="52">
        <f t="shared" si="4"/>
        <v>471.38740017658097</v>
      </c>
      <c r="AF33" s="128"/>
      <c r="AG33" s="44">
        <v>1.3960066276173138</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6487618.9208858479</v>
      </c>
      <c r="C35" s="44">
        <v>8506.8724258695493</v>
      </c>
      <c r="D35" s="44">
        <v>13437.215080453079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6509563.0083921701</v>
      </c>
      <c r="AD35" s="110"/>
      <c r="AE35" s="52">
        <f t="shared" si="4"/>
        <v>6509.5630083921696</v>
      </c>
      <c r="AF35" s="128"/>
      <c r="AG35" s="44">
        <v>35.105715528224273</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444786.57224344189</v>
      </c>
      <c r="C37" s="44">
        <v>512.85761383783745</v>
      </c>
      <c r="D37" s="44">
        <v>970.7661976216209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446270.19605490135</v>
      </c>
      <c r="AD37" s="110"/>
      <c r="AE37" s="52">
        <f t="shared" si="4"/>
        <v>446.27019605490136</v>
      </c>
      <c r="AF37" s="128"/>
      <c r="AG37" s="44">
        <v>1.9709344043733734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39408809.463116445</v>
      </c>
      <c r="C39" s="44">
        <f>SUM(C40:C42)</f>
        <v>47955.813619818815</v>
      </c>
      <c r="D39" s="44">
        <f>SUM(D40:D42)</f>
        <v>63961.694376981155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39520726.97111325</v>
      </c>
      <c r="AD39" s="110"/>
      <c r="AE39" s="52">
        <f t="shared" si="4"/>
        <v>39520.726971113247</v>
      </c>
      <c r="AF39" s="128"/>
      <c r="AG39" s="44">
        <v>240.52608189060987</v>
      </c>
    </row>
    <row r="40" spans="1:33" ht="22.2" customHeight="1" x14ac:dyDescent="0.4">
      <c r="A40" s="99" t="s">
        <v>69</v>
      </c>
      <c r="B40" s="44">
        <v>3457549.19871725</v>
      </c>
      <c r="C40" s="44">
        <v>1716.186416</v>
      </c>
      <c r="D40" s="44">
        <v>1694.3174885000001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3460959.7026217501</v>
      </c>
      <c r="AD40" s="110"/>
      <c r="AE40" s="52">
        <f t="shared" si="4"/>
        <v>3460.9597026217502</v>
      </c>
      <c r="AF40" s="128"/>
      <c r="AG40" s="44">
        <v>12.568068067389335</v>
      </c>
    </row>
    <row r="41" spans="1:33" ht="22.2" customHeight="1" x14ac:dyDescent="0.4">
      <c r="A41" s="99" t="s">
        <v>70</v>
      </c>
      <c r="B41" s="44">
        <v>568684.89824547165</v>
      </c>
      <c r="C41" s="44">
        <v>411.00629183333314</v>
      </c>
      <c r="D41" s="44">
        <v>613.88165617155369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569709.78619347652</v>
      </c>
      <c r="AD41" s="110"/>
      <c r="AE41" s="52">
        <f t="shared" si="4"/>
        <v>569.70978619347648</v>
      </c>
      <c r="AF41" s="128"/>
      <c r="AG41" s="44">
        <v>4.8301460194325969</v>
      </c>
    </row>
    <row r="42" spans="1:33" ht="22.2" customHeight="1" x14ac:dyDescent="0.4">
      <c r="A42" s="99" t="s">
        <v>71</v>
      </c>
      <c r="B42" s="44">
        <v>35382575.366153724</v>
      </c>
      <c r="C42" s="44">
        <v>45828.620911985483</v>
      </c>
      <c r="D42" s="44">
        <v>61653.4952323096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35490057.482298017</v>
      </c>
      <c r="AD42" s="110"/>
      <c r="AE42" s="52">
        <f t="shared" si="4"/>
        <v>35490.05748229802</v>
      </c>
      <c r="AF42" s="128"/>
      <c r="AG42" s="44">
        <v>223.12786780378795</v>
      </c>
    </row>
    <row r="43" spans="1:33" ht="22.2" customHeight="1" x14ac:dyDescent="0.4">
      <c r="A43" s="20" t="s">
        <v>72</v>
      </c>
      <c r="B43" s="37">
        <f>SUM(B44:B48)</f>
        <v>175635182.28100002</v>
      </c>
      <c r="C43" s="37">
        <f>SUM(C44:C48)</f>
        <v>490925.06790000002</v>
      </c>
      <c r="D43" s="37">
        <f>SUM(D44:D48)</f>
        <v>2118373.2553999997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178244480.60430002</v>
      </c>
      <c r="AD43" s="41"/>
      <c r="AE43" s="37">
        <f t="shared" si="4"/>
        <v>178244.48060430001</v>
      </c>
      <c r="AF43" s="128"/>
      <c r="AG43" s="37">
        <f>SUM(AG44:AG48)</f>
        <v>13640.263943260001</v>
      </c>
    </row>
    <row r="44" spans="1:33" ht="22.2" customHeight="1" x14ac:dyDescent="0.4">
      <c r="A44" s="100" t="s">
        <v>73</v>
      </c>
      <c r="B44" s="44">
        <v>6870208.0920000002</v>
      </c>
      <c r="C44" s="44">
        <v>1324.5777</v>
      </c>
      <c r="D44" s="44">
        <v>50144.7281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6921677.3978000004</v>
      </c>
      <c r="AD44" s="41"/>
      <c r="AE44" s="52">
        <f t="shared" si="4"/>
        <v>6921.6773978000001</v>
      </c>
      <c r="AF44" s="128"/>
      <c r="AG44" s="44">
        <v>97.191743259999996</v>
      </c>
    </row>
    <row r="45" spans="1:33" ht="22.2" customHeight="1" x14ac:dyDescent="0.4">
      <c r="A45" s="100" t="s">
        <v>74</v>
      </c>
      <c r="B45" s="44">
        <v>164405070.59999999</v>
      </c>
      <c r="C45" s="44">
        <v>480142.1545</v>
      </c>
      <c r="D45" s="44">
        <v>1837444.5353999999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166722657.2899</v>
      </c>
      <c r="AD45" s="41"/>
      <c r="AE45" s="52">
        <f t="shared" si="4"/>
        <v>166722.6572899</v>
      </c>
      <c r="AF45" s="128"/>
      <c r="AG45" s="44">
        <v>13418.8</v>
      </c>
    </row>
    <row r="46" spans="1:33" ht="22.2" customHeight="1" x14ac:dyDescent="0.4">
      <c r="A46" s="100" t="s">
        <v>75</v>
      </c>
      <c r="B46" s="44">
        <v>2057810.43</v>
      </c>
      <c r="C46" s="44">
        <v>3282.29</v>
      </c>
      <c r="D46" s="44">
        <v>214083.46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2275176.1800000002</v>
      </c>
      <c r="AD46" s="41"/>
      <c r="AE46" s="52">
        <f t="shared" si="4"/>
        <v>2275.1761800000004</v>
      </c>
      <c r="AF46" s="128"/>
      <c r="AG46" s="44">
        <v>48.52</v>
      </c>
    </row>
    <row r="47" spans="1:33" ht="22.2" customHeight="1" x14ac:dyDescent="0.4">
      <c r="A47" s="100" t="s">
        <v>76</v>
      </c>
      <c r="B47" s="44">
        <v>2302093.159</v>
      </c>
      <c r="C47" s="44">
        <v>6176.0456999999997</v>
      </c>
      <c r="D47" s="44">
        <v>16700.531900000002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2324969.7365999999</v>
      </c>
      <c r="AD47" s="41"/>
      <c r="AE47" s="52">
        <f t="shared" si="4"/>
        <v>2324.9697366</v>
      </c>
      <c r="AF47" s="128"/>
      <c r="AG47" s="44">
        <v>75.752200000000002</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34362379.850000001</v>
      </c>
      <c r="C49" s="37">
        <f>SUM(C50:C52)</f>
        <v>365646.58999999997</v>
      </c>
      <c r="D49" s="37">
        <f>SUM(D50:D52)</f>
        <v>377781.41000000003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35105807.850000001</v>
      </c>
      <c r="AD49" s="41"/>
      <c r="AE49" s="37">
        <f t="shared" si="4"/>
        <v>35105.807850000005</v>
      </c>
      <c r="AF49" s="128"/>
      <c r="AG49" s="37">
        <f>SUM(AG50:AG52)</f>
        <v>38447.079999999994</v>
      </c>
    </row>
    <row r="50" spans="1:33" ht="22.2" customHeight="1" x14ac:dyDescent="0.4">
      <c r="A50" s="100" t="s">
        <v>79</v>
      </c>
      <c r="B50" s="44">
        <v>5196030.13</v>
      </c>
      <c r="C50" s="44">
        <v>11640.1</v>
      </c>
      <c r="D50" s="44">
        <v>2402.7800000000002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5210073.01</v>
      </c>
      <c r="AD50" s="41"/>
      <c r="AE50" s="52">
        <f t="shared" si="4"/>
        <v>5210.0730100000001</v>
      </c>
      <c r="AF50" s="128"/>
      <c r="AG50" s="44">
        <v>2433.63</v>
      </c>
    </row>
    <row r="51" spans="1:33" ht="22.2" customHeight="1" x14ac:dyDescent="0.4">
      <c r="A51" s="100" t="s">
        <v>80</v>
      </c>
      <c r="B51" s="44">
        <v>19462312.66</v>
      </c>
      <c r="C51" s="44">
        <v>317311.01</v>
      </c>
      <c r="D51" s="44">
        <v>354830.42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20134454.090000004</v>
      </c>
      <c r="AD51" s="41"/>
      <c r="AE51" s="52">
        <f t="shared" si="4"/>
        <v>20134.454090000003</v>
      </c>
      <c r="AF51" s="128"/>
      <c r="AG51" s="44">
        <v>35742.85</v>
      </c>
    </row>
    <row r="52" spans="1:33" ht="22.2" customHeight="1" x14ac:dyDescent="0.4">
      <c r="A52" s="100" t="s">
        <v>81</v>
      </c>
      <c r="B52" s="44">
        <v>9704037.0600000005</v>
      </c>
      <c r="C52" s="44">
        <v>36695.480000000003</v>
      </c>
      <c r="D52" s="44">
        <v>20548.21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9761280.7500000019</v>
      </c>
      <c r="AD52" s="41"/>
      <c r="AE52" s="52">
        <f t="shared" si="4"/>
        <v>9761.2807500000017</v>
      </c>
      <c r="AF52" s="128"/>
      <c r="AG52" s="44">
        <v>270.60000000000002</v>
      </c>
    </row>
    <row r="53" spans="1:33" ht="22.2" customHeight="1" x14ac:dyDescent="0.4">
      <c r="A53" s="13" t="s">
        <v>82</v>
      </c>
      <c r="B53" s="37">
        <f>B54+B59</f>
        <v>18170112.73</v>
      </c>
      <c r="C53" s="37">
        <f>C54+C59</f>
        <v>24036067.68</v>
      </c>
      <c r="D53" s="37">
        <f>D54+D59</f>
        <v>49238.5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42255418.909999996</v>
      </c>
      <c r="AD53" s="41"/>
      <c r="AE53" s="37">
        <f t="shared" si="4"/>
        <v>42255.418909999993</v>
      </c>
      <c r="AF53" s="128"/>
      <c r="AG53" s="37">
        <f>AG54+AG59</f>
        <v>4805.6761121296904</v>
      </c>
    </row>
    <row r="54" spans="1:33" ht="22.2" customHeight="1" x14ac:dyDescent="0.4">
      <c r="A54" s="20" t="s">
        <v>83</v>
      </c>
      <c r="B54" s="37">
        <f>B55+B58</f>
        <v>84361.75</v>
      </c>
      <c r="C54" s="37">
        <f>C55+C58</f>
        <v>2967251.79</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3051613.54</v>
      </c>
      <c r="AD54" s="41"/>
      <c r="AE54" s="37">
        <f t="shared" si="4"/>
        <v>3051.6135399999998</v>
      </c>
      <c r="AF54" s="128"/>
      <c r="AG54" s="76"/>
    </row>
    <row r="55" spans="1:33" ht="22.2" customHeight="1" x14ac:dyDescent="0.4">
      <c r="A55" s="101" t="s">
        <v>84</v>
      </c>
      <c r="B55" s="52">
        <f>B56+B57</f>
        <v>84361.75</v>
      </c>
      <c r="C55" s="52">
        <f>C56+C57</f>
        <v>2967251.79</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3051613.54</v>
      </c>
      <c r="AD55" s="41"/>
      <c r="AE55" s="44">
        <f t="shared" si="4"/>
        <v>3051.6135399999998</v>
      </c>
      <c r="AF55" s="128"/>
      <c r="AG55" s="73"/>
    </row>
    <row r="56" spans="1:33" ht="22.2" customHeight="1" x14ac:dyDescent="0.4">
      <c r="A56" s="100" t="s">
        <v>85</v>
      </c>
      <c r="B56" s="44">
        <v>80342.3</v>
      </c>
      <c r="C56" s="44">
        <v>2846171.9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2926514.1999999997</v>
      </c>
      <c r="AD56" s="41"/>
      <c r="AE56" s="52">
        <f t="shared" si="4"/>
        <v>2926.5141999999996</v>
      </c>
      <c r="AF56" s="128"/>
      <c r="AG56" s="73"/>
    </row>
    <row r="57" spans="1:33" ht="22.2" customHeight="1" x14ac:dyDescent="0.4">
      <c r="A57" s="100" t="s">
        <v>86</v>
      </c>
      <c r="B57" s="44">
        <v>4019.45</v>
      </c>
      <c r="C57" s="44">
        <v>121079.89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125099.34</v>
      </c>
      <c r="AD57" s="41"/>
      <c r="AE57" s="52">
        <f t="shared" si="4"/>
        <v>125.09934</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18085750.98</v>
      </c>
      <c r="C59" s="37">
        <f t="shared" ref="C59:D59" si="8">C60+C64</f>
        <v>21068815.890000001</v>
      </c>
      <c r="D59" s="37">
        <f t="shared" si="8"/>
        <v>49238.5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39203805.369999997</v>
      </c>
      <c r="AD59" s="41"/>
      <c r="AE59" s="37">
        <f t="shared" si="4"/>
        <v>39203.805369999995</v>
      </c>
      <c r="AF59" s="128"/>
      <c r="AG59" s="53">
        <f>SUM(AG60:AG66)</f>
        <v>4805.6761121296904</v>
      </c>
    </row>
    <row r="60" spans="1:33" ht="22.2" customHeight="1" x14ac:dyDescent="0.4">
      <c r="A60" s="100" t="s">
        <v>89</v>
      </c>
      <c r="B60" s="49">
        <f>SUM(B61,B62,B63)</f>
        <v>15704180.389999999</v>
      </c>
      <c r="C60" s="49">
        <f t="shared" ref="C60:D60" si="9">SUM(C61,C62,C63)</f>
        <v>14651019.74</v>
      </c>
      <c r="D60" s="49">
        <f t="shared" si="9"/>
        <v>49179.360000000001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30404379.489999998</v>
      </c>
      <c r="AD60" s="41"/>
      <c r="AE60" s="52">
        <f t="shared" si="4"/>
        <v>30404.379489999999</v>
      </c>
      <c r="AF60" s="128"/>
      <c r="AG60" s="111"/>
    </row>
    <row r="61" spans="1:33" ht="22.2" customHeight="1" x14ac:dyDescent="0.4">
      <c r="A61" s="102" t="s">
        <v>90</v>
      </c>
      <c r="B61" s="44">
        <v>4508245.96</v>
      </c>
      <c r="C61" s="44">
        <v>4396105.68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8904351.6400000006</v>
      </c>
      <c r="AD61" s="41"/>
      <c r="AE61" s="52">
        <f t="shared" si="4"/>
        <v>8904.3516400000008</v>
      </c>
      <c r="AF61" s="128"/>
      <c r="AG61" s="109"/>
    </row>
    <row r="62" spans="1:33" ht="22.2" customHeight="1" x14ac:dyDescent="0.4">
      <c r="A62" s="102" t="s">
        <v>91</v>
      </c>
      <c r="B62" s="44">
        <v>11161206.810000001</v>
      </c>
      <c r="C62" s="44">
        <v>10124735.58</v>
      </c>
      <c r="D62" s="44">
        <v>49179.360000000001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21335121.75</v>
      </c>
      <c r="AD62" s="41"/>
      <c r="AE62" s="52">
        <f t="shared" si="4"/>
        <v>21335.121749999998</v>
      </c>
      <c r="AF62" s="128"/>
      <c r="AG62" s="44">
        <v>4805.6761121296904</v>
      </c>
    </row>
    <row r="63" spans="1:33" ht="22.2" customHeight="1" x14ac:dyDescent="0.4">
      <c r="A63" s="102" t="s">
        <v>92</v>
      </c>
      <c r="B63" s="44">
        <v>34727.620000000003</v>
      </c>
      <c r="C63" s="44">
        <v>130178.48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164906.1</v>
      </c>
      <c r="AD63" s="41"/>
      <c r="AE63" s="52">
        <f t="shared" si="4"/>
        <v>164.90610000000001</v>
      </c>
      <c r="AF63" s="128"/>
      <c r="AG63" s="109"/>
    </row>
    <row r="64" spans="1:33" ht="22.2" customHeight="1" x14ac:dyDescent="0.4">
      <c r="A64" s="103" t="s">
        <v>93</v>
      </c>
      <c r="B64" s="49">
        <f>SUM(B65,B66,B67)</f>
        <v>2381570.5900000003</v>
      </c>
      <c r="C64" s="49">
        <f t="shared" ref="C64:D64" si="11">SUM(C65,C66,C67)</f>
        <v>6417796.1500000004</v>
      </c>
      <c r="D64" s="49">
        <f t="shared" si="11"/>
        <v>59.14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8799425.8800000008</v>
      </c>
      <c r="AD64" s="41"/>
      <c r="AE64" s="52">
        <f t="shared" si="4"/>
        <v>8799.4258800000007</v>
      </c>
      <c r="AF64" s="128"/>
      <c r="AG64" s="109"/>
    </row>
    <row r="65" spans="1:33" ht="22.2" customHeight="1" x14ac:dyDescent="0.4">
      <c r="A65" s="102" t="s">
        <v>94</v>
      </c>
      <c r="B65" s="44">
        <v>1952470.86</v>
      </c>
      <c r="C65" s="44">
        <v>3027366.17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4979837.03</v>
      </c>
      <c r="AD65" s="41"/>
      <c r="AE65" s="52">
        <f t="shared" si="4"/>
        <v>4979.8370300000006</v>
      </c>
      <c r="AF65" s="128"/>
      <c r="AG65" s="112"/>
    </row>
    <row r="66" spans="1:33" ht="22.2" customHeight="1" x14ac:dyDescent="0.4">
      <c r="A66" s="102" t="s">
        <v>95</v>
      </c>
      <c r="B66" s="44">
        <v>425249.25</v>
      </c>
      <c r="C66" s="44">
        <v>208421.68</v>
      </c>
      <c r="D66" s="44">
        <v>59.14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633730.06999999995</v>
      </c>
      <c r="AD66" s="41"/>
      <c r="AE66" s="52">
        <f t="shared" si="4"/>
        <v>633.73006999999996</v>
      </c>
      <c r="AF66" s="128"/>
      <c r="AG66" s="112"/>
    </row>
    <row r="67" spans="1:33" ht="22.2" customHeight="1" thickBot="1" x14ac:dyDescent="0.45">
      <c r="A67" s="102" t="s">
        <v>96</v>
      </c>
      <c r="B67" s="44">
        <v>3850.48</v>
      </c>
      <c r="C67" s="44">
        <v>3182008.3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3185858.78</v>
      </c>
      <c r="AD67" s="41"/>
      <c r="AE67" s="116">
        <f t="shared" si="4"/>
        <v>3185.8587799999996</v>
      </c>
      <c r="AF67" s="128"/>
      <c r="AG67" s="112"/>
    </row>
    <row r="68" spans="1:33" ht="22.2" customHeight="1" x14ac:dyDescent="0.4">
      <c r="A68" s="12" t="s">
        <v>97</v>
      </c>
      <c r="B68" s="33">
        <f>B69+B75+B86+B94+B99+B105+B112+B117</f>
        <v>48841739.05718945</v>
      </c>
      <c r="C68" s="33">
        <f t="shared" ref="C68:AC68" si="12">C69+C75+C86+C94+C99+C105+C112+C117</f>
        <v>153800.98726207987</v>
      </c>
      <c r="D68" s="33">
        <f t="shared" si="12"/>
        <v>690798.1802984206</v>
      </c>
      <c r="E68" s="34">
        <f t="shared" si="12"/>
        <v>447.51600000000008</v>
      </c>
      <c r="F68" s="34">
        <f t="shared" si="12"/>
        <v>820033.071</v>
      </c>
      <c r="G68" s="34">
        <f t="shared" si="12"/>
        <v>17542.148000000001</v>
      </c>
      <c r="H68" s="34">
        <f t="shared" si="12"/>
        <v>23630.975999999999</v>
      </c>
      <c r="I68" s="34">
        <f t="shared" si="12"/>
        <v>286.49599999999998</v>
      </c>
      <c r="J68" s="34">
        <f t="shared" si="12"/>
        <v>6267306.7520000003</v>
      </c>
      <c r="K68" s="34">
        <f t="shared" si="12"/>
        <v>7295438.733</v>
      </c>
      <c r="L68" s="34">
        <f t="shared" si="12"/>
        <v>187784.92600000001</v>
      </c>
      <c r="M68" s="34">
        <f t="shared" si="12"/>
        <v>495597.141</v>
      </c>
      <c r="N68" s="34">
        <f t="shared" si="12"/>
        <v>462335.571</v>
      </c>
      <c r="O68" s="34">
        <f t="shared" si="12"/>
        <v>26662.978999999999</v>
      </c>
      <c r="P68" s="34">
        <f t="shared" si="12"/>
        <v>60393.222999999998</v>
      </c>
      <c r="Q68" s="34">
        <f t="shared" si="12"/>
        <v>4774.2340000000004</v>
      </c>
      <c r="R68" s="34">
        <f t="shared" si="12"/>
        <v>486.46300000000002</v>
      </c>
      <c r="S68" s="34">
        <f t="shared" si="12"/>
        <v>1477369.6359999999</v>
      </c>
      <c r="T68" s="34">
        <f t="shared" si="12"/>
        <v>1.4659757999999998</v>
      </c>
      <c r="U68" s="34">
        <f t="shared" si="12"/>
        <v>22404.692673183858</v>
      </c>
      <c r="V68" s="34">
        <f t="shared" si="12"/>
        <v>2343.3500898166767</v>
      </c>
      <c r="W68" s="34">
        <f t="shared" si="12"/>
        <v>192.72060000000002</v>
      </c>
      <c r="X68" s="34">
        <f t="shared" si="12"/>
        <v>2.1654000000000001E-3</v>
      </c>
      <c r="Y68" s="34">
        <f t="shared" si="12"/>
        <v>68.96284708224762</v>
      </c>
      <c r="Z68" s="34">
        <f t="shared" si="12"/>
        <v>1.4436E-3</v>
      </c>
      <c r="AA68" s="34">
        <f t="shared" si="12"/>
        <v>1967.6591982390892</v>
      </c>
      <c r="AB68" s="120">
        <f t="shared" si="12"/>
        <v>217012.24665952529</v>
      </c>
      <c r="AC68" s="57">
        <f t="shared" si="12"/>
        <v>67070419.191402592</v>
      </c>
      <c r="AD68" s="93"/>
      <c r="AE68" s="57">
        <f t="shared" si="4"/>
        <v>67070.419191402587</v>
      </c>
      <c r="AF68" s="128"/>
      <c r="AG68" s="57"/>
    </row>
    <row r="69" spans="1:33" ht="22.2" customHeight="1" x14ac:dyDescent="0.4">
      <c r="A69" s="20" t="s">
        <v>98</v>
      </c>
      <c r="B69" s="53">
        <f>SUM(B70:B74)</f>
        <v>28497472.981531493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28497472.981531493</v>
      </c>
      <c r="AD69" s="41"/>
      <c r="AE69" s="37">
        <f t="shared" si="4"/>
        <v>28497.472981531493</v>
      </c>
      <c r="AF69" s="128"/>
      <c r="AG69" s="76"/>
    </row>
    <row r="70" spans="1:33" ht="22.2" customHeight="1" x14ac:dyDescent="0.4">
      <c r="A70" s="100" t="s">
        <v>99</v>
      </c>
      <c r="B70" s="44">
        <v>19637318.905072004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19637318.905072004</v>
      </c>
      <c r="AD70" s="41"/>
      <c r="AE70" s="52">
        <f t="shared" si="4"/>
        <v>19637.318905072003</v>
      </c>
      <c r="AF70" s="128"/>
      <c r="AG70" s="111"/>
    </row>
    <row r="71" spans="1:33" ht="22.2" customHeight="1" x14ac:dyDescent="0.4">
      <c r="A71" s="100" t="s">
        <v>100</v>
      </c>
      <c r="B71" s="44">
        <v>3472221.2003331734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3472221.2003331734</v>
      </c>
      <c r="AD71" s="41"/>
      <c r="AE71" s="52">
        <f t="shared" si="4"/>
        <v>3472.2212003331733</v>
      </c>
      <c r="AF71" s="128"/>
      <c r="AG71" s="111"/>
    </row>
    <row r="72" spans="1:33" ht="22.2" customHeight="1" x14ac:dyDescent="0.4">
      <c r="A72" s="100" t="s">
        <v>101</v>
      </c>
      <c r="B72" s="44">
        <v>695465.05375690176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695465.05375690176</v>
      </c>
      <c r="AD72" s="41"/>
      <c r="AE72" s="52">
        <f t="shared" si="4"/>
        <v>695.46505375690174</v>
      </c>
      <c r="AF72" s="128"/>
      <c r="AG72" s="111"/>
    </row>
    <row r="73" spans="1:33" ht="22.2" customHeight="1" x14ac:dyDescent="0.4">
      <c r="A73" s="100" t="s">
        <v>102</v>
      </c>
      <c r="B73" s="44">
        <v>4692467.8223694135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4692467.8223694135</v>
      </c>
      <c r="AD73" s="41"/>
      <c r="AE73" s="52">
        <f t="shared" ref="AE73:AE136" si="13">AC73/1000</f>
        <v>4692.4678223694136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2204021.9017701293</v>
      </c>
      <c r="C75" s="37">
        <f>SUM(C76:C85)</f>
        <v>151756.70726207987</v>
      </c>
      <c r="D75" s="37">
        <f>SUM(D76:D85)</f>
        <v>690556.11974999995</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3046334.7287822096</v>
      </c>
      <c r="AD75" s="41"/>
      <c r="AE75" s="37">
        <f t="shared" si="13"/>
        <v>3046.3347287822094</v>
      </c>
      <c r="AF75" s="128"/>
      <c r="AG75" s="76"/>
    </row>
    <row r="76" spans="1:33" ht="22.2" customHeight="1" x14ac:dyDescent="0.4">
      <c r="A76" s="100" t="s">
        <v>105</v>
      </c>
      <c r="B76" s="117">
        <v>638533.29545999144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638533.29545999144</v>
      </c>
      <c r="AD76" s="41"/>
      <c r="AE76" s="52">
        <f t="shared" si="13"/>
        <v>638.53329545999145</v>
      </c>
      <c r="AF76" s="128"/>
      <c r="AG76" s="111"/>
    </row>
    <row r="77" spans="1:33" ht="22.2" customHeight="1" x14ac:dyDescent="0.4">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149367.78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149367.78</v>
      </c>
      <c r="AD79" s="41"/>
      <c r="AE79" s="52">
        <f t="shared" si="13"/>
        <v>149.36778000000001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269151.06000000006</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269151.06000000006</v>
      </c>
      <c r="AD81" s="41"/>
      <c r="AE81" s="52">
        <f t="shared" si="13"/>
        <v>269.15106000000003</v>
      </c>
      <c r="AF81" s="128"/>
      <c r="AG81" s="111"/>
    </row>
    <row r="82" spans="1:33" ht="22.2" customHeight="1" x14ac:dyDescent="0.4">
      <c r="A82" s="100" t="s">
        <v>111</v>
      </c>
      <c r="B82" s="44">
        <v>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0</v>
      </c>
      <c r="AD82" s="41"/>
      <c r="AE82" s="52">
        <f t="shared" si="13"/>
        <v>0</v>
      </c>
      <c r="AF82" s="128"/>
      <c r="AG82" s="111"/>
    </row>
    <row r="83" spans="1:33" ht="22.2" customHeight="1" x14ac:dyDescent="0.4">
      <c r="A83" s="100" t="s">
        <v>112</v>
      </c>
      <c r="B83" s="44">
        <v>1296337.546310138</v>
      </c>
      <c r="C83" s="44">
        <v>151756.70726207987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1448094.2535722179</v>
      </c>
      <c r="AD83" s="41"/>
      <c r="AE83" s="52">
        <f t="shared" si="13"/>
        <v>1448.0942535722179</v>
      </c>
      <c r="AF83" s="128"/>
      <c r="AG83" s="111"/>
    </row>
    <row r="84" spans="1:33" ht="22.2" customHeight="1" x14ac:dyDescent="0.4">
      <c r="A84" s="100" t="s">
        <v>113</v>
      </c>
      <c r="B84" s="59"/>
      <c r="C84" s="58"/>
      <c r="D84" s="58"/>
      <c r="E84" s="160">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17981214.960000001</v>
      </c>
      <c r="C86" s="37">
        <f>SUM(C87:C93)</f>
        <v>2044.28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17983259.240000002</v>
      </c>
      <c r="AD86" s="41"/>
      <c r="AE86" s="37">
        <f>AC86/1000</f>
        <v>17983.259240000003</v>
      </c>
      <c r="AF86" s="128"/>
      <c r="AG86" s="76"/>
    </row>
    <row r="87" spans="1:33" ht="22.2" customHeight="1" x14ac:dyDescent="0.4">
      <c r="A87" s="100" t="s">
        <v>116</v>
      </c>
      <c r="B87" s="44">
        <v>17589540</v>
      </c>
      <c r="C87" s="44">
        <v>2044.28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17591584.280000001</v>
      </c>
      <c r="AD87" s="41"/>
      <c r="AE87" s="52">
        <f t="shared" si="13"/>
        <v>17591.584280000003</v>
      </c>
      <c r="AF87" s="128"/>
      <c r="AG87" s="111"/>
    </row>
    <row r="88" spans="1:33" ht="22.2" customHeight="1" x14ac:dyDescent="0.4">
      <c r="A88" s="100" t="s">
        <v>117</v>
      </c>
      <c r="B88" s="44">
        <v>297839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297839</v>
      </c>
      <c r="AD88" s="41"/>
      <c r="AE88" s="52">
        <f t="shared" si="13"/>
        <v>297.839</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0"/>
      <c r="V89" s="160"/>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93835.96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93835.96</v>
      </c>
      <c r="AD91" s="41"/>
      <c r="AE91" s="52">
        <f t="shared" si="13"/>
        <v>93.83596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122568.32388782606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122568.32388782606</v>
      </c>
      <c r="AD94" s="41"/>
      <c r="AE94" s="37">
        <f t="shared" si="13"/>
        <v>122.56832388782605</v>
      </c>
      <c r="AF94" s="128"/>
      <c r="AG94" s="78"/>
    </row>
    <row r="95" spans="1:33" ht="22.2" customHeight="1" x14ac:dyDescent="0.4">
      <c r="A95" s="100" t="s">
        <v>124</v>
      </c>
      <c r="B95" s="44">
        <v>105735.09168253878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105735.09168253878</v>
      </c>
      <c r="AD95" s="41"/>
      <c r="AE95" s="52">
        <f t="shared" si="13"/>
        <v>105.73509168253878</v>
      </c>
      <c r="AF95" s="128"/>
      <c r="AG95" s="111"/>
    </row>
    <row r="96" spans="1:33" ht="22.2" customHeight="1" x14ac:dyDescent="0.4">
      <c r="A96" s="100" t="s">
        <v>125</v>
      </c>
      <c r="B96" s="44">
        <v>16833.232205287281</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16833.232205287281</v>
      </c>
      <c r="AD96" s="41"/>
      <c r="AE96" s="52">
        <f t="shared" si="13"/>
        <v>16.833232205287281</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242.06054842067974</v>
      </c>
      <c r="E99" s="66">
        <f>SUM(E100:E102)</f>
        <v>447.51600000000008</v>
      </c>
      <c r="F99" s="47"/>
      <c r="G99" s="47"/>
      <c r="H99" s="47"/>
      <c r="I99" s="47"/>
      <c r="J99" s="47"/>
      <c r="K99" s="47"/>
      <c r="L99" s="47"/>
      <c r="M99" s="47"/>
      <c r="N99" s="47"/>
      <c r="O99" s="47"/>
      <c r="P99" s="47"/>
      <c r="Q99" s="47"/>
      <c r="R99" s="47"/>
      <c r="S99" s="47"/>
      <c r="T99" s="66">
        <f>SUM(T100:T102)</f>
        <v>1.4659757999999998</v>
      </c>
      <c r="U99" s="66">
        <f t="shared" ref="U99:AB99" si="16">SUM(U100:U102)</f>
        <v>22404.692673183858</v>
      </c>
      <c r="V99" s="66">
        <f t="shared" si="16"/>
        <v>2343.3500898166767</v>
      </c>
      <c r="W99" s="66">
        <f t="shared" si="16"/>
        <v>192.72060000000002</v>
      </c>
      <c r="X99" s="66">
        <f t="shared" si="16"/>
        <v>2.1654000000000001E-3</v>
      </c>
      <c r="Y99" s="66">
        <f t="shared" si="16"/>
        <v>68.96284708224762</v>
      </c>
      <c r="Z99" s="66">
        <f t="shared" si="16"/>
        <v>1.4436E-3</v>
      </c>
      <c r="AA99" s="66">
        <f t="shared" si="16"/>
        <v>1967.6591982390892</v>
      </c>
      <c r="AB99" s="66">
        <f t="shared" si="16"/>
        <v>1899.8166595253003</v>
      </c>
      <c r="AC99" s="37">
        <f>SUM(AC100:AC104)</f>
        <v>29568.24820106785</v>
      </c>
      <c r="AD99" s="41"/>
      <c r="AE99" s="37">
        <f t="shared" si="13"/>
        <v>29.568248201067849</v>
      </c>
      <c r="AF99" s="128"/>
      <c r="AG99" s="63"/>
    </row>
    <row r="100" spans="1:33" ht="22.2" customHeight="1" x14ac:dyDescent="0.4">
      <c r="A100" s="100" t="s">
        <v>129</v>
      </c>
      <c r="B100" s="63"/>
      <c r="C100" s="63"/>
      <c r="D100" s="44">
        <v>193.18977000000001</v>
      </c>
      <c r="E100" s="160">
        <v>447.51600000000008</v>
      </c>
      <c r="F100" s="47"/>
      <c r="G100" s="47"/>
      <c r="H100" s="47"/>
      <c r="I100" s="47"/>
      <c r="J100" s="47"/>
      <c r="K100" s="47"/>
      <c r="L100" s="47"/>
      <c r="M100" s="47"/>
      <c r="N100" s="47"/>
      <c r="O100" s="47"/>
      <c r="P100" s="47"/>
      <c r="Q100" s="47"/>
      <c r="R100" s="47"/>
      <c r="S100" s="47"/>
      <c r="T100" s="160">
        <v>1.4659757999999998</v>
      </c>
      <c r="U100" s="160">
        <v>1722.79224</v>
      </c>
      <c r="V100" s="160">
        <v>961.43759999999997</v>
      </c>
      <c r="W100" s="160">
        <v>192.72060000000002</v>
      </c>
      <c r="X100" s="160">
        <v>2.1654000000000001E-3</v>
      </c>
      <c r="Y100" s="160">
        <v>68.859719999999996</v>
      </c>
      <c r="Z100" s="160">
        <v>1.4436E-3</v>
      </c>
      <c r="AA100" s="160">
        <v>1743.1470000000002</v>
      </c>
      <c r="AB100" s="160">
        <v>848.11500000000001</v>
      </c>
      <c r="AC100" s="52">
        <f>SUM(B100:AB100)</f>
        <v>6179.2475148000003</v>
      </c>
      <c r="AD100" s="41"/>
      <c r="AE100" s="52">
        <f t="shared" si="13"/>
        <v>6.1792475148000001</v>
      </c>
      <c r="AF100" s="128"/>
      <c r="AG100" s="111"/>
    </row>
    <row r="101" spans="1:33" ht="22.2" customHeight="1" x14ac:dyDescent="0.4">
      <c r="A101" s="100" t="s">
        <v>130</v>
      </c>
      <c r="B101" s="64"/>
      <c r="C101" s="63"/>
      <c r="D101" s="44">
        <v>48.87077842067972</v>
      </c>
      <c r="E101" s="45"/>
      <c r="F101" s="47"/>
      <c r="G101" s="47"/>
      <c r="H101" s="47"/>
      <c r="I101" s="47"/>
      <c r="J101" s="47"/>
      <c r="K101" s="47"/>
      <c r="L101" s="47"/>
      <c r="M101" s="47"/>
      <c r="N101" s="47"/>
      <c r="O101" s="47"/>
      <c r="P101" s="47"/>
      <c r="Q101" s="47"/>
      <c r="R101" s="47"/>
      <c r="S101" s="47"/>
      <c r="T101" s="47"/>
      <c r="U101" s="160">
        <v>46.585551461859204</v>
      </c>
      <c r="V101" s="47"/>
      <c r="W101" s="47"/>
      <c r="X101" s="47"/>
      <c r="Y101" s="160">
        <v>0.10312708224762425</v>
      </c>
      <c r="Z101" s="47"/>
      <c r="AA101" s="160">
        <v>224.51219823908897</v>
      </c>
      <c r="AB101" s="160">
        <v>1051.7016595253003</v>
      </c>
      <c r="AC101" s="52">
        <f>SUM(B101:AB101)</f>
        <v>1371.7733147291758</v>
      </c>
      <c r="AD101" s="41"/>
      <c r="AE101" s="52">
        <f t="shared" si="13"/>
        <v>1.3717733147291757</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0">
        <v>20635.314881721999</v>
      </c>
      <c r="V102" s="160">
        <v>1381.9124898166767</v>
      </c>
      <c r="W102" s="47"/>
      <c r="X102" s="47"/>
      <c r="Y102" s="47"/>
      <c r="Z102" s="47"/>
      <c r="AA102" s="47"/>
      <c r="AB102" s="75"/>
      <c r="AC102" s="52">
        <f>SUM(B102:AB102)</f>
        <v>22017.227371538676</v>
      </c>
      <c r="AD102" s="41"/>
      <c r="AE102" s="52">
        <f t="shared" si="13"/>
        <v>22.017227371538677</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820033.071</v>
      </c>
      <c r="G105" s="67">
        <f t="shared" ref="G105:S105" si="17">SUM(G106:G111)</f>
        <v>17542.148000000001</v>
      </c>
      <c r="H105" s="66">
        <f t="shared" si="17"/>
        <v>23630.975999999999</v>
      </c>
      <c r="I105" s="66">
        <f t="shared" si="17"/>
        <v>286.49599999999998</v>
      </c>
      <c r="J105" s="66">
        <f t="shared" si="17"/>
        <v>6267306.7520000003</v>
      </c>
      <c r="K105" s="66">
        <f t="shared" si="17"/>
        <v>7295438.733</v>
      </c>
      <c r="L105" s="66">
        <f t="shared" si="17"/>
        <v>187784.92600000001</v>
      </c>
      <c r="M105" s="66">
        <f t="shared" si="17"/>
        <v>495597.141</v>
      </c>
      <c r="N105" s="66">
        <f t="shared" si="17"/>
        <v>462335.571</v>
      </c>
      <c r="O105" s="66">
        <f t="shared" si="17"/>
        <v>26662.978999999999</v>
      </c>
      <c r="P105" s="66">
        <f t="shared" si="17"/>
        <v>60393.222999999998</v>
      </c>
      <c r="Q105" s="66">
        <f t="shared" si="17"/>
        <v>4774.2340000000004</v>
      </c>
      <c r="R105" s="67">
        <f t="shared" si="17"/>
        <v>486.46300000000002</v>
      </c>
      <c r="S105" s="66">
        <f t="shared" si="17"/>
        <v>1477369.6359999999</v>
      </c>
      <c r="T105" s="47"/>
      <c r="U105" s="47"/>
      <c r="V105" s="47"/>
      <c r="W105" s="47"/>
      <c r="X105" s="47"/>
      <c r="Y105" s="47"/>
      <c r="Z105" s="47"/>
      <c r="AA105" s="47"/>
      <c r="AB105" s="75"/>
      <c r="AC105" s="37">
        <f>SUM(AC106:AC111)</f>
        <v>17139642.348999999</v>
      </c>
      <c r="AD105" s="41"/>
      <c r="AE105" s="37">
        <f>AC105/1000</f>
        <v>17139.642348999998</v>
      </c>
      <c r="AF105" s="128"/>
      <c r="AG105" s="63"/>
    </row>
    <row r="106" spans="1:33" ht="22.2" customHeight="1" x14ac:dyDescent="0.4">
      <c r="A106" s="100" t="s">
        <v>135</v>
      </c>
      <c r="B106" s="63"/>
      <c r="C106" s="63"/>
      <c r="D106" s="63"/>
      <c r="E106" s="45"/>
      <c r="F106" s="160">
        <v>820033.071</v>
      </c>
      <c r="G106" s="47"/>
      <c r="H106" s="47"/>
      <c r="I106" s="47"/>
      <c r="J106" s="160">
        <v>5875435.1500000004</v>
      </c>
      <c r="K106" s="160">
        <v>7295438.733</v>
      </c>
      <c r="L106" s="160">
        <v>187784.92600000001</v>
      </c>
      <c r="M106" s="105"/>
      <c r="N106" s="47"/>
      <c r="O106" s="47"/>
      <c r="P106" s="47"/>
      <c r="Q106" s="47"/>
      <c r="R106" s="47"/>
      <c r="S106" s="160">
        <v>1477369.6359999999</v>
      </c>
      <c r="T106" s="47"/>
      <c r="U106" s="47"/>
      <c r="V106" s="47"/>
      <c r="W106" s="47"/>
      <c r="X106" s="47"/>
      <c r="Y106" s="47"/>
      <c r="Z106" s="47"/>
      <c r="AA106" s="47"/>
      <c r="AB106" s="75"/>
      <c r="AC106" s="52">
        <f>SUM(B106:AB106)</f>
        <v>15656061.516000001</v>
      </c>
      <c r="AD106" s="41"/>
      <c r="AE106" s="52">
        <f>AC106/1000</f>
        <v>15656.061516000002</v>
      </c>
      <c r="AF106" s="128"/>
      <c r="AG106" s="111"/>
    </row>
    <row r="107" spans="1:33" ht="22.2" customHeight="1" x14ac:dyDescent="0.4">
      <c r="A107" s="100" t="s">
        <v>136</v>
      </c>
      <c r="B107" s="63"/>
      <c r="C107" s="63"/>
      <c r="D107" s="63"/>
      <c r="E107" s="45"/>
      <c r="F107" s="47"/>
      <c r="G107" s="47"/>
      <c r="H107" s="47"/>
      <c r="I107" s="160">
        <v>286.49599999999998</v>
      </c>
      <c r="J107" s="160">
        <v>3777.2249999999999</v>
      </c>
      <c r="K107" s="47"/>
      <c r="L107" s="47"/>
      <c r="M107" s="160">
        <v>495597.141</v>
      </c>
      <c r="N107" s="47"/>
      <c r="O107" s="47"/>
      <c r="P107" s="47"/>
      <c r="Q107" s="160">
        <v>4774.2340000000004</v>
      </c>
      <c r="R107" s="47"/>
      <c r="S107" s="47"/>
      <c r="T107" s="47"/>
      <c r="U107" s="47"/>
      <c r="V107" s="47"/>
      <c r="W107" s="47"/>
      <c r="X107" s="47"/>
      <c r="Y107" s="47"/>
      <c r="Z107" s="47"/>
      <c r="AA107" s="47"/>
      <c r="AB107" s="75"/>
      <c r="AC107" s="52">
        <f>SUM(B107:AB107)</f>
        <v>504435.09600000002</v>
      </c>
      <c r="AD107" s="41"/>
      <c r="AE107" s="52">
        <f t="shared" si="13"/>
        <v>504.43509600000004</v>
      </c>
      <c r="AF107" s="128"/>
      <c r="AG107" s="111"/>
    </row>
    <row r="108" spans="1:33" ht="22.2" customHeight="1" x14ac:dyDescent="0.4">
      <c r="A108" s="100" t="s">
        <v>137</v>
      </c>
      <c r="B108" s="63"/>
      <c r="C108" s="63"/>
      <c r="D108" s="63"/>
      <c r="E108" s="45"/>
      <c r="F108" s="47"/>
      <c r="G108" s="47"/>
      <c r="H108" s="160">
        <v>23630.975999999999</v>
      </c>
      <c r="I108" s="47"/>
      <c r="J108" s="47"/>
      <c r="K108" s="47"/>
      <c r="L108" s="47"/>
      <c r="M108" s="47"/>
      <c r="N108" s="47"/>
      <c r="O108" s="160">
        <v>26662.978999999999</v>
      </c>
      <c r="P108" s="160">
        <v>60393.222999999998</v>
      </c>
      <c r="Q108" s="47"/>
      <c r="R108" s="160">
        <v>486.46300000000002</v>
      </c>
      <c r="S108" s="47"/>
      <c r="T108" s="47"/>
      <c r="U108" s="47"/>
      <c r="V108" s="47"/>
      <c r="W108" s="47"/>
      <c r="X108" s="47"/>
      <c r="Y108" s="47"/>
      <c r="Z108" s="47"/>
      <c r="AA108" s="47"/>
      <c r="AB108" s="75"/>
      <c r="AC108" s="52">
        <f>SUM(B108:AB108)</f>
        <v>111173.641</v>
      </c>
      <c r="AD108" s="41"/>
      <c r="AE108" s="52">
        <f t="shared" si="13"/>
        <v>111.173641</v>
      </c>
      <c r="AF108" s="128"/>
      <c r="AG108" s="111"/>
    </row>
    <row r="109" spans="1:33" ht="22.2" customHeight="1" x14ac:dyDescent="0.4">
      <c r="A109" s="100" t="s">
        <v>138</v>
      </c>
      <c r="B109" s="63"/>
      <c r="C109" s="63"/>
      <c r="D109" s="63"/>
      <c r="E109" s="45"/>
      <c r="F109" s="47"/>
      <c r="G109" s="47"/>
      <c r="H109" s="47"/>
      <c r="I109" s="47"/>
      <c r="J109" s="160">
        <v>388094.37699999998</v>
      </c>
      <c r="K109" s="47"/>
      <c r="L109" s="47"/>
      <c r="M109" s="47"/>
      <c r="N109" s="160">
        <v>462335.571</v>
      </c>
      <c r="O109" s="47"/>
      <c r="P109" s="47"/>
      <c r="Q109" s="160">
        <v>0</v>
      </c>
      <c r="R109" s="47"/>
      <c r="S109" s="47"/>
      <c r="T109" s="47"/>
      <c r="U109" s="47"/>
      <c r="V109" s="47"/>
      <c r="W109" s="47"/>
      <c r="X109" s="47"/>
      <c r="Y109" s="47"/>
      <c r="Z109" s="47"/>
      <c r="AA109" s="47"/>
      <c r="AB109" s="75"/>
      <c r="AC109" s="52">
        <f>SUM(B109:AB109)</f>
        <v>850429.94799999997</v>
      </c>
      <c r="AD109" s="41"/>
      <c r="AE109" s="52">
        <f t="shared" si="13"/>
        <v>850.42994799999997</v>
      </c>
      <c r="AF109" s="128"/>
      <c r="AG109" s="111"/>
    </row>
    <row r="110" spans="1:33" ht="22.2" customHeight="1" x14ac:dyDescent="0.4">
      <c r="A110" s="100" t="s">
        <v>139</v>
      </c>
      <c r="B110" s="64"/>
      <c r="C110" s="63"/>
      <c r="D110" s="63"/>
      <c r="E110" s="45"/>
      <c r="F110" s="47"/>
      <c r="G110" s="160">
        <v>17542.148000000001</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17542.148000000001</v>
      </c>
      <c r="AD110" s="41"/>
      <c r="AE110" s="52">
        <f t="shared" si="13"/>
        <v>17.542148000000001</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215112.43</v>
      </c>
      <c r="AC112" s="37">
        <f>SUM(AC113:AC116)</f>
        <v>215112.43</v>
      </c>
      <c r="AD112" s="41"/>
      <c r="AE112" s="37">
        <f t="shared" si="13"/>
        <v>215.11242999999999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0">
        <v>215112.43</v>
      </c>
      <c r="AC113" s="52">
        <f>SUM(B113:AB113)</f>
        <v>215112.43</v>
      </c>
      <c r="AD113" s="41"/>
      <c r="AE113" s="52">
        <f t="shared" si="13"/>
        <v>215.11242999999999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36460.89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36460.89</v>
      </c>
      <c r="AD117" s="41"/>
      <c r="AE117" s="37">
        <f t="shared" si="13"/>
        <v>36.460889999999999</v>
      </c>
      <c r="AF117" s="128"/>
      <c r="AG117" s="64"/>
    </row>
    <row r="118" spans="1:33" ht="22.2" customHeight="1" x14ac:dyDescent="0.4">
      <c r="A118" s="100" t="s">
        <v>147</v>
      </c>
      <c r="B118" s="44">
        <v>36460.89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36460.89</v>
      </c>
      <c r="AD118" s="41"/>
      <c r="AE118" s="52">
        <f t="shared" si="13"/>
        <v>36.460889999999999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1464295.68</v>
      </c>
      <c r="C121" s="33">
        <f>C122+C132+SUM(C143:C149)</f>
        <v>92916624.3794</v>
      </c>
      <c r="D121" s="33">
        <f>D122+D132+SUM(D143:D149)</f>
        <v>26976884.597637001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121357804.657037</v>
      </c>
      <c r="AD121" s="41"/>
      <c r="AE121" s="57">
        <f t="shared" si="13"/>
        <v>121357.80465703701</v>
      </c>
      <c r="AF121" s="128"/>
      <c r="AG121" s="33">
        <f>SUM(AG122:AG149)</f>
        <v>4043.33</v>
      </c>
    </row>
    <row r="122" spans="1:33" ht="22.2" customHeight="1" x14ac:dyDescent="0.4">
      <c r="A122" s="22" t="s">
        <v>151</v>
      </c>
      <c r="B122" s="58"/>
      <c r="C122" s="37">
        <f>SUM(C123:C131)</f>
        <v>74037671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74037671</v>
      </c>
      <c r="AD122" s="41"/>
      <c r="AE122" s="37">
        <f t="shared" si="13"/>
        <v>74037.671000000002</v>
      </c>
      <c r="AF122" s="128"/>
      <c r="AG122" s="63"/>
    </row>
    <row r="123" spans="1:33" ht="22.2" customHeight="1" x14ac:dyDescent="0.4">
      <c r="A123" s="21" t="s">
        <v>152</v>
      </c>
      <c r="B123" s="58"/>
      <c r="C123" s="44">
        <v>69781371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69781371</v>
      </c>
      <c r="AD123" s="41"/>
      <c r="AE123" s="52">
        <f t="shared" si="13"/>
        <v>69781.370999999999</v>
      </c>
      <c r="AF123" s="128"/>
      <c r="AG123" s="111"/>
    </row>
    <row r="124" spans="1:33" ht="22.2" customHeight="1" x14ac:dyDescent="0.4">
      <c r="A124" s="21" t="s">
        <v>153</v>
      </c>
      <c r="B124" s="59"/>
      <c r="C124" s="44">
        <v>1649504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1649504</v>
      </c>
      <c r="AD124" s="41"/>
      <c r="AE124" s="52">
        <f t="shared" si="13"/>
        <v>1649.5039999999999</v>
      </c>
      <c r="AF124" s="128"/>
      <c r="AG124" s="111"/>
    </row>
    <row r="125" spans="1:33" ht="22.2" customHeight="1" x14ac:dyDescent="0.4">
      <c r="A125" s="21" t="s">
        <v>154</v>
      </c>
      <c r="B125" s="59"/>
      <c r="C125" s="44">
        <v>366881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366881</v>
      </c>
      <c r="AD125" s="41"/>
      <c r="AE125" s="52">
        <f t="shared" si="13"/>
        <v>366.88099999999997</v>
      </c>
      <c r="AF125" s="128"/>
      <c r="AG125" s="111"/>
    </row>
    <row r="126" spans="1:33" ht="22.2" customHeight="1" x14ac:dyDescent="0.4">
      <c r="A126" s="21" t="s">
        <v>155</v>
      </c>
      <c r="B126" s="59"/>
      <c r="C126" s="44">
        <v>296812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296812</v>
      </c>
      <c r="AD126" s="41"/>
      <c r="AE126" s="52">
        <f t="shared" si="13"/>
        <v>296.81200000000001</v>
      </c>
      <c r="AF126" s="128"/>
      <c r="AG126" s="111"/>
    </row>
    <row r="127" spans="1:33" ht="22.2" customHeight="1" x14ac:dyDescent="0.4">
      <c r="A127" s="21" t="s">
        <v>156</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157</v>
      </c>
      <c r="B128" s="59"/>
      <c r="C128" s="44">
        <v>1397331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1397331</v>
      </c>
      <c r="AD128" s="41"/>
      <c r="AE128" s="52">
        <f t="shared" si="13"/>
        <v>1397.3309999999999</v>
      </c>
      <c r="AF128" s="128"/>
      <c r="AG128" s="111"/>
    </row>
    <row r="129" spans="1:33" ht="22.2" customHeight="1" x14ac:dyDescent="0.4">
      <c r="A129" s="21" t="s">
        <v>158</v>
      </c>
      <c r="B129" s="76"/>
      <c r="C129" s="44">
        <v>436818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436818</v>
      </c>
      <c r="AD129" s="41"/>
      <c r="AE129" s="52">
        <f t="shared" si="13"/>
        <v>436.81799999999998</v>
      </c>
      <c r="AF129" s="128"/>
      <c r="AG129" s="111"/>
    </row>
    <row r="130" spans="1:33" ht="22.2" customHeight="1" x14ac:dyDescent="0.4">
      <c r="A130" s="21" t="s">
        <v>159</v>
      </c>
      <c r="B130" s="77"/>
      <c r="C130" s="44">
        <v>108954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108954</v>
      </c>
      <c r="AD130" s="41"/>
      <c r="AE130" s="52">
        <f t="shared" si="13"/>
        <v>108.95399999999999</v>
      </c>
      <c r="AF130" s="128"/>
      <c r="AG130" s="111"/>
    </row>
    <row r="131" spans="1:33" ht="22.2" customHeight="1" x14ac:dyDescent="0.4">
      <c r="A131" s="21" t="s">
        <v>160</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161</v>
      </c>
      <c r="B132" s="78"/>
      <c r="C132" s="62">
        <f>SUM(C133:C142)</f>
        <v>18038811</v>
      </c>
      <c r="D132" s="62">
        <f>SUM(D133:D142)</f>
        <v>7309594.1889000004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25348405.188900001</v>
      </c>
      <c r="AD132" s="41"/>
      <c r="AE132" s="37">
        <f t="shared" si="13"/>
        <v>25348.4051889</v>
      </c>
      <c r="AF132" s="128"/>
      <c r="AG132" s="78"/>
    </row>
    <row r="133" spans="1:33" ht="22.2" customHeight="1" x14ac:dyDescent="0.4">
      <c r="A133" s="21" t="s">
        <v>162</v>
      </c>
      <c r="B133" s="59"/>
      <c r="C133" s="44">
        <v>10906637</v>
      </c>
      <c r="D133" s="44">
        <v>6014392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16921029</v>
      </c>
      <c r="AD133" s="41"/>
      <c r="AE133" s="52">
        <f t="shared" si="13"/>
        <v>16921.028999999999</v>
      </c>
      <c r="AF133" s="128"/>
      <c r="AG133" s="111"/>
    </row>
    <row r="134" spans="1:33" ht="22.2" customHeight="1" x14ac:dyDescent="0.4">
      <c r="A134" s="21" t="s">
        <v>163</v>
      </c>
      <c r="B134" s="59"/>
      <c r="C134" s="44">
        <v>36924</v>
      </c>
      <c r="D134" s="44">
        <v>36843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73767</v>
      </c>
      <c r="AD134" s="41"/>
      <c r="AE134" s="52">
        <f t="shared" si="13"/>
        <v>73.766999999999996</v>
      </c>
      <c r="AF134" s="128"/>
      <c r="AG134" s="111"/>
    </row>
    <row r="135" spans="1:33" ht="22.2" customHeight="1" x14ac:dyDescent="0.4">
      <c r="A135" s="21" t="s">
        <v>164</v>
      </c>
      <c r="B135" s="59"/>
      <c r="C135" s="44">
        <v>5191109</v>
      </c>
      <c r="D135" s="44">
        <v>439176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5630285</v>
      </c>
      <c r="AD135" s="41"/>
      <c r="AE135" s="52">
        <f t="shared" si="13"/>
        <v>5630.2849999999999</v>
      </c>
      <c r="AF135" s="128"/>
      <c r="AG135" s="111"/>
    </row>
    <row r="136" spans="1:33" ht="22.2" customHeight="1" x14ac:dyDescent="0.4">
      <c r="A136" s="21" t="s">
        <v>165</v>
      </c>
      <c r="B136" s="59"/>
      <c r="C136" s="44">
        <v>8730</v>
      </c>
      <c r="D136" s="44">
        <v>29144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37874</v>
      </c>
      <c r="AD136" s="41"/>
      <c r="AE136" s="52">
        <f t="shared" si="13"/>
        <v>37.874000000000002</v>
      </c>
      <c r="AF136" s="128"/>
      <c r="AG136" s="111"/>
    </row>
    <row r="137" spans="1:33" ht="22.2" customHeight="1" x14ac:dyDescent="0.4">
      <c r="A137" s="21" t="s">
        <v>166</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167</v>
      </c>
      <c r="B138" s="59"/>
      <c r="C138" s="44">
        <v>38341</v>
      </c>
      <c r="D138" s="44">
        <v>21033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59374</v>
      </c>
      <c r="AD138" s="41"/>
      <c r="AE138" s="52">
        <f t="shared" si="20"/>
        <v>59.374000000000002</v>
      </c>
      <c r="AF138" s="128"/>
      <c r="AG138" s="111"/>
    </row>
    <row r="139" spans="1:33" ht="22.2" customHeight="1" x14ac:dyDescent="0.4">
      <c r="A139" s="21" t="s">
        <v>168</v>
      </c>
      <c r="B139" s="59"/>
      <c r="C139" s="44">
        <v>41337</v>
      </c>
      <c r="D139" s="44">
        <v>333291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374628</v>
      </c>
      <c r="AD139" s="41"/>
      <c r="AE139" s="52">
        <f t="shared" si="20"/>
        <v>374.62799999999999</v>
      </c>
      <c r="AF139" s="128"/>
      <c r="AG139" s="111"/>
    </row>
    <row r="140" spans="1:33" ht="22.2" customHeight="1" x14ac:dyDescent="0.4">
      <c r="A140" s="21" t="s">
        <v>169</v>
      </c>
      <c r="B140" s="59"/>
      <c r="C140" s="44">
        <v>10550</v>
      </c>
      <c r="D140" s="44">
        <v>74226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84776</v>
      </c>
      <c r="AD140" s="41"/>
      <c r="AE140" s="52">
        <f t="shared" si="20"/>
        <v>84.775999999999996</v>
      </c>
      <c r="AF140" s="128"/>
      <c r="AG140" s="111"/>
    </row>
    <row r="141" spans="1:33" ht="22.2" customHeight="1" x14ac:dyDescent="0.4">
      <c r="A141" s="21" t="s">
        <v>170</v>
      </c>
      <c r="B141" s="76"/>
      <c r="C141" s="44">
        <v>1805183</v>
      </c>
      <c r="D141" s="44">
        <v>361489.18890000001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2166672.1889</v>
      </c>
      <c r="AD141" s="41"/>
      <c r="AE141" s="52">
        <f t="shared" si="20"/>
        <v>2166.6721889</v>
      </c>
      <c r="AF141" s="128"/>
      <c r="AG141" s="111"/>
    </row>
    <row r="142" spans="1:33" ht="22.2" customHeight="1" x14ac:dyDescent="0.4">
      <c r="A142" s="21" t="s">
        <v>171</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172</v>
      </c>
      <c r="B143" s="59"/>
      <c r="C143" s="75"/>
      <c r="D143" s="44">
        <v>706609.8419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706609.8419</v>
      </c>
      <c r="AD143" s="41"/>
      <c r="AE143" s="52">
        <f t="shared" ref="AE143:AE150" si="22">AC143/1000</f>
        <v>706.60984189999999</v>
      </c>
      <c r="AF143" s="128"/>
      <c r="AG143" s="111"/>
    </row>
    <row r="144" spans="1:33" ht="22.2" customHeight="1" x14ac:dyDescent="0.4">
      <c r="A144" s="22" t="s">
        <v>173</v>
      </c>
      <c r="B144" s="59"/>
      <c r="C144" s="44">
        <v>127180.637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127180.637</v>
      </c>
      <c r="AD144" s="41"/>
      <c r="AE144" s="52">
        <f t="shared" si="22"/>
        <v>127.180637</v>
      </c>
      <c r="AF144" s="128"/>
      <c r="AG144" s="111"/>
    </row>
    <row r="145" spans="1:33" ht="22.2" customHeight="1" x14ac:dyDescent="0.4">
      <c r="A145" s="22" t="s">
        <v>174</v>
      </c>
      <c r="B145" s="59"/>
      <c r="C145" s="75"/>
      <c r="D145" s="44">
        <v>12289653.199999999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12289653.199999999</v>
      </c>
      <c r="AD145" s="41"/>
      <c r="AE145" s="52">
        <f t="shared" si="22"/>
        <v>12289.653199999999</v>
      </c>
      <c r="AF145" s="128"/>
      <c r="AG145" s="111"/>
    </row>
    <row r="146" spans="1:33" ht="22.2" customHeight="1" x14ac:dyDescent="0.4">
      <c r="A146" s="22" t="s">
        <v>175</v>
      </c>
      <c r="B146" s="59"/>
      <c r="C146" s="75"/>
      <c r="D146" s="44">
        <v>6454584.6757370001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6454584.6757370001</v>
      </c>
      <c r="AD146" s="41"/>
      <c r="AE146" s="52">
        <f t="shared" si="22"/>
        <v>6454.584675737</v>
      </c>
      <c r="AF146" s="128"/>
      <c r="AG146" s="111"/>
    </row>
    <row r="147" spans="1:33" ht="22.2" customHeight="1" x14ac:dyDescent="0.4">
      <c r="A147" s="21" t="s">
        <v>176</v>
      </c>
      <c r="B147" s="59"/>
      <c r="C147" s="44">
        <v>712961.74239999999</v>
      </c>
      <c r="D147" s="44">
        <v>216442.6911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929404.43350000004</v>
      </c>
      <c r="AD147" s="41"/>
      <c r="AE147" s="52">
        <f t="shared" si="22"/>
        <v>929.4044335000001</v>
      </c>
      <c r="AF147" s="128"/>
      <c r="AG147" s="44">
        <v>4043.33</v>
      </c>
    </row>
    <row r="148" spans="1:33" ht="22.2" customHeight="1" x14ac:dyDescent="0.4">
      <c r="A148" s="22" t="s">
        <v>177</v>
      </c>
      <c r="B148" s="44">
        <v>45010.15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45010.15</v>
      </c>
      <c r="AD148" s="41"/>
      <c r="AE148" s="52">
        <f t="shared" si="22"/>
        <v>45.010150000000003</v>
      </c>
      <c r="AF148" s="128"/>
      <c r="AG148" s="111"/>
    </row>
    <row r="149" spans="1:33" ht="22.2" customHeight="1" x14ac:dyDescent="0.4">
      <c r="A149" s="22" t="s">
        <v>178</v>
      </c>
      <c r="B149" s="44">
        <v>1419285.53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1419285.53</v>
      </c>
      <c r="AD149" s="41"/>
      <c r="AE149" s="52">
        <f t="shared" si="22"/>
        <v>1419.2855300000001</v>
      </c>
      <c r="AF149" s="128"/>
      <c r="AG149" s="111"/>
    </row>
    <row r="150" spans="1:33" ht="22.2" customHeight="1" x14ac:dyDescent="0.4">
      <c r="A150" s="15" t="s">
        <v>179</v>
      </c>
      <c r="B150" s="33">
        <f>B151+B154+B157+B160+B163+B166+B173</f>
        <v>-183745744.71709999</v>
      </c>
      <c r="C150" s="33">
        <f>C169</f>
        <v>299092.4326</v>
      </c>
      <c r="D150" s="33">
        <f>D169</f>
        <v>160999.6955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-183285652.58900002</v>
      </c>
      <c r="AD150" s="41"/>
      <c r="AE150" s="57">
        <f t="shared" si="22"/>
        <v>-183285.652589</v>
      </c>
      <c r="AF150" s="128"/>
      <c r="AG150" s="33">
        <f>AG169</f>
        <v>2296.4430000000002</v>
      </c>
    </row>
    <row r="151" spans="1:33" ht="22.2" customHeight="1" x14ac:dyDescent="0.4">
      <c r="A151" s="22" t="s">
        <v>180</v>
      </c>
      <c r="B151" s="151">
        <f>SUM(B152:B153)</f>
        <v>-183721112.9323</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-183721112.9323</v>
      </c>
      <c r="AD151" s="41"/>
      <c r="AE151" s="79">
        <f t="shared" si="20"/>
        <v>-183721.11293229999</v>
      </c>
      <c r="AF151" s="128"/>
      <c r="AG151" s="63"/>
    </row>
    <row r="152" spans="1:33" ht="22.2" customHeight="1" x14ac:dyDescent="0.4">
      <c r="A152" s="21" t="s">
        <v>181</v>
      </c>
      <c r="B152" s="44">
        <v>-179946799.4896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-179946799.4896</v>
      </c>
      <c r="AD152" s="41"/>
      <c r="AE152" s="52">
        <f t="shared" si="20"/>
        <v>-179946.7994896</v>
      </c>
      <c r="AF152" s="128"/>
      <c r="AG152" s="111"/>
    </row>
    <row r="153" spans="1:33" ht="22.2" customHeight="1" x14ac:dyDescent="0.4">
      <c r="A153" s="21" t="s">
        <v>182</v>
      </c>
      <c r="B153" s="44">
        <v>-3774313.4427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-3774313.4427</v>
      </c>
      <c r="AD153" s="41"/>
      <c r="AE153" s="52">
        <f t="shared" si="20"/>
        <v>-3774.3134427</v>
      </c>
      <c r="AF153" s="128"/>
      <c r="AG153" s="111"/>
    </row>
    <row r="154" spans="1:33" ht="22.2" customHeight="1" x14ac:dyDescent="0.4">
      <c r="A154" s="22" t="s">
        <v>183</v>
      </c>
      <c r="B154" s="151">
        <f>SUM(B155:B156)</f>
        <v>-10839251.446900003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-10839251.446900003</v>
      </c>
      <c r="AD154" s="41"/>
      <c r="AE154" s="79">
        <f t="shared" si="20"/>
        <v>-10839.251446900003</v>
      </c>
      <c r="AF154" s="128"/>
      <c r="AG154" s="63"/>
    </row>
    <row r="155" spans="1:33" ht="22.2" customHeight="1" x14ac:dyDescent="0.4">
      <c r="A155" s="21" t="s">
        <v>184</v>
      </c>
      <c r="B155" s="44">
        <v>-19077248.419100001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-19077248.419100001</v>
      </c>
      <c r="AD155" s="41"/>
      <c r="AE155" s="52">
        <f t="shared" si="20"/>
        <v>-19077.2484191</v>
      </c>
      <c r="AF155" s="128"/>
      <c r="AG155" s="111"/>
    </row>
    <row r="156" spans="1:33" ht="22.2" customHeight="1" x14ac:dyDescent="0.4">
      <c r="A156" s="21" t="s">
        <v>185</v>
      </c>
      <c r="B156" s="44">
        <v>8237996.9721999997</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8237996.9721999997</v>
      </c>
      <c r="AD156" s="41"/>
      <c r="AE156" s="52">
        <f t="shared" si="20"/>
        <v>8237.9969722000005</v>
      </c>
      <c r="AF156" s="128"/>
      <c r="AG156" s="111"/>
    </row>
    <row r="157" spans="1:33" ht="22.2" customHeight="1" x14ac:dyDescent="0.4">
      <c r="A157" s="22" t="s">
        <v>186</v>
      </c>
      <c r="B157" s="151">
        <f>SUM(B158:B159)</f>
        <v>13459179.4092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13459179.4092</v>
      </c>
      <c r="AD157" s="41"/>
      <c r="AE157" s="79">
        <f t="shared" si="20"/>
        <v>13459.1794092</v>
      </c>
      <c r="AF157" s="128"/>
      <c r="AG157" s="63"/>
    </row>
    <row r="158" spans="1:33" ht="22.2" customHeight="1" x14ac:dyDescent="0.4">
      <c r="A158" s="21" t="s">
        <v>187</v>
      </c>
      <c r="B158" s="44">
        <v>-458089.91190000001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-458089.91190000001</v>
      </c>
      <c r="AD158" s="41"/>
      <c r="AE158" s="52">
        <f t="shared" si="20"/>
        <v>-458.0899119</v>
      </c>
      <c r="AF158" s="128"/>
      <c r="AG158" s="111"/>
    </row>
    <row r="159" spans="1:33" ht="22.2" customHeight="1" x14ac:dyDescent="0.4">
      <c r="A159" s="21" t="s">
        <v>188</v>
      </c>
      <c r="B159" s="44">
        <v>13917269.3211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13917269.3211</v>
      </c>
      <c r="AD159" s="41"/>
      <c r="AE159" s="52">
        <f t="shared" si="20"/>
        <v>13917.269321100001</v>
      </c>
      <c r="AF159" s="128"/>
      <c r="AG159" s="111"/>
    </row>
    <row r="160" spans="1:33" ht="22.2" customHeight="1" x14ac:dyDescent="0.4">
      <c r="A160" s="22" t="s">
        <v>189</v>
      </c>
      <c r="B160" s="151">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190</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191</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192</v>
      </c>
      <c r="B163" s="151">
        <f>SUM(B164:B165)</f>
        <v>363729.152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363729.152</v>
      </c>
      <c r="AD163" s="41"/>
      <c r="AE163" s="79">
        <f t="shared" si="20"/>
        <v>363.729152</v>
      </c>
      <c r="AF163" s="128"/>
      <c r="AG163" s="63"/>
    </row>
    <row r="164" spans="1:33" ht="22.2" customHeight="1" x14ac:dyDescent="0.4">
      <c r="A164" s="21" t="s">
        <v>193</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194</v>
      </c>
      <c r="B165" s="44">
        <v>363729.152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363729.152</v>
      </c>
      <c r="AD165" s="41"/>
      <c r="AE165" s="52">
        <f t="shared" si="20"/>
        <v>363.729152</v>
      </c>
      <c r="AF165" s="128"/>
      <c r="AG165" s="111"/>
    </row>
    <row r="166" spans="1:33" ht="22.2" customHeight="1" x14ac:dyDescent="0.4">
      <c r="A166" s="22" t="s">
        <v>195</v>
      </c>
      <c r="B166" s="151">
        <f>SUM(B167:B168)</f>
        <v>544614.70109999995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544614.70109999995</v>
      </c>
      <c r="AD166" s="41"/>
      <c r="AE166" s="79">
        <f t="shared" si="20"/>
        <v>544.61470109999993</v>
      </c>
      <c r="AF166" s="128"/>
      <c r="AG166" s="63"/>
    </row>
    <row r="167" spans="1:33" ht="22.2" customHeight="1" x14ac:dyDescent="0.4">
      <c r="A167" s="21" t="s">
        <v>196</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197</v>
      </c>
      <c r="B168" s="44">
        <v>544614.70109999995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544614.70109999995</v>
      </c>
      <c r="AD168" s="41"/>
      <c r="AE168" s="52">
        <f t="shared" si="20"/>
        <v>544.61470109999993</v>
      </c>
      <c r="AF168" s="128"/>
      <c r="AG168" s="111"/>
    </row>
    <row r="169" spans="1:33" ht="22.2" customHeight="1" x14ac:dyDescent="0.4">
      <c r="A169" s="22" t="s">
        <v>198</v>
      </c>
      <c r="B169" s="59"/>
      <c r="C169" s="62">
        <f>SUM(C170:C171)</f>
        <v>299092.4326</v>
      </c>
      <c r="D169" s="62">
        <f>SUM(D170:D171)</f>
        <v>160999.6955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460092.12809999997</v>
      </c>
      <c r="AD169" s="41"/>
      <c r="AE169" s="52">
        <f t="shared" si="20"/>
        <v>460.09212809999997</v>
      </c>
      <c r="AF169" s="128"/>
      <c r="AG169" s="54">
        <f>SUM(AG170:AG171)</f>
        <v>2296.4430000000002</v>
      </c>
    </row>
    <row r="170" spans="1:33" ht="22.2" customHeight="1" x14ac:dyDescent="0.4">
      <c r="A170" s="21" t="s">
        <v>199</v>
      </c>
      <c r="B170" s="59"/>
      <c r="C170" s="44">
        <v>196334.10260000001</v>
      </c>
      <c r="D170" s="44">
        <v>72203.095499999996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268537.19810000004</v>
      </c>
      <c r="AD170" s="41"/>
      <c r="AE170" s="52">
        <f t="shared" si="20"/>
        <v>268.53719810000001</v>
      </c>
      <c r="AF170" s="128"/>
      <c r="AG170" s="44">
        <v>1124.0630000000001</v>
      </c>
    </row>
    <row r="171" spans="1:33" ht="22.2" customHeight="1" x14ac:dyDescent="0.4">
      <c r="A171" s="21" t="s">
        <v>200</v>
      </c>
      <c r="B171" s="59"/>
      <c r="C171" s="44">
        <v>102758.33</v>
      </c>
      <c r="D171" s="44">
        <v>88796.6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191554.93</v>
      </c>
      <c r="AD171" s="41"/>
      <c r="AE171" s="52">
        <f t="shared" si="20"/>
        <v>191.55492999999998</v>
      </c>
      <c r="AF171" s="128"/>
      <c r="AG171" s="44">
        <v>1172.3800000000001</v>
      </c>
    </row>
    <row r="172" spans="1:33" ht="22.2" customHeight="1" x14ac:dyDescent="0.4">
      <c r="A172" s="21" t="s">
        <v>201</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202</v>
      </c>
      <c r="B173" s="44">
        <v>-3635745.2633000002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-3635745.2633000002</v>
      </c>
      <c r="AD173" s="41"/>
      <c r="AE173" s="52">
        <f t="shared" si="20"/>
        <v>-3635.7452633000003</v>
      </c>
      <c r="AF173" s="128"/>
      <c r="AG173" s="111"/>
    </row>
    <row r="174" spans="1:33" ht="22.2" customHeight="1" thickBot="1" x14ac:dyDescent="0.45">
      <c r="A174" s="23" t="s">
        <v>203</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2"/>
      <c r="AC174" s="124"/>
      <c r="AD174" s="41"/>
      <c r="AE174" s="124"/>
      <c r="AF174" s="128"/>
      <c r="AG174" s="127"/>
    </row>
    <row r="175" spans="1:33" ht="22.2" customHeight="1" x14ac:dyDescent="0.4">
      <c r="A175" s="15" t="s">
        <v>204</v>
      </c>
      <c r="B175" s="33">
        <f>B176+B180+B181+B184+B187</f>
        <v>1483393.8839999998</v>
      </c>
      <c r="C175" s="33">
        <f>C176+C180+C181+C184+C187</f>
        <v>44758683.67511107</v>
      </c>
      <c r="D175" s="33">
        <f>D176+D180+D181+D184+D187</f>
        <v>4881170.6840000004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51123248.243111074</v>
      </c>
      <c r="AD175" s="97"/>
      <c r="AE175" s="81">
        <f t="shared" si="20"/>
        <v>51123.248243111077</v>
      </c>
      <c r="AF175" s="128"/>
      <c r="AG175" s="33">
        <f>AG176+AG180+AG181+AG184+AG187</f>
        <v>1517.105894</v>
      </c>
    </row>
    <row r="176" spans="1:33" ht="22.2" customHeight="1" x14ac:dyDescent="0.4">
      <c r="A176" s="24" t="s">
        <v>205</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 customHeight="1" x14ac:dyDescent="0.4">
      <c r="A177" s="100" t="s">
        <v>206</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 customHeight="1" x14ac:dyDescent="0.4">
      <c r="A178" s="100" t="s">
        <v>207</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 customHeight="1" x14ac:dyDescent="0.4">
      <c r="A179" s="100" t="s">
        <v>208</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 customHeight="1" x14ac:dyDescent="0.4">
      <c r="A180" s="24" t="s">
        <v>209</v>
      </c>
      <c r="B180" s="63"/>
      <c r="C180" s="163">
        <v>92796.006999999998</v>
      </c>
      <c r="D180" s="164">
        <v>65868.595000000001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158664.60200000001</v>
      </c>
      <c r="AD180" s="97"/>
      <c r="AE180" s="37">
        <f t="shared" si="20"/>
        <v>158.664602</v>
      </c>
      <c r="AF180" s="128"/>
      <c r="AG180" s="111"/>
    </row>
    <row r="181" spans="1:33" ht="22.2" customHeight="1" x14ac:dyDescent="0.4">
      <c r="A181" s="24" t="s">
        <v>210</v>
      </c>
      <c r="B181" s="62">
        <f>B182+B183</f>
        <v>1483393.8839999998</v>
      </c>
      <c r="C181" s="62">
        <f>C182+C183</f>
        <v>893275.83799999999</v>
      </c>
      <c r="D181" s="62">
        <f>D182+D183</f>
        <v>198180.984</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2574850.7060000002</v>
      </c>
      <c r="AD181" s="97"/>
      <c r="AE181" s="37">
        <f t="shared" si="20"/>
        <v>2574.8507060000002</v>
      </c>
      <c r="AF181" s="128"/>
      <c r="AG181" s="37">
        <f>AG182+AG183</f>
        <v>1517.105894</v>
      </c>
    </row>
    <row r="182" spans="1:33" ht="22.2" customHeight="1" x14ac:dyDescent="0.4">
      <c r="A182" s="100" t="s">
        <v>211</v>
      </c>
      <c r="B182" s="44">
        <v>113561.444</v>
      </c>
      <c r="C182" s="44">
        <v>192.67400000000001</v>
      </c>
      <c r="D182" s="44">
        <v>3125.732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116879.85</v>
      </c>
      <c r="AD182" s="97"/>
      <c r="AE182" s="52">
        <f t="shared" si="20"/>
        <v>116.87985</v>
      </c>
      <c r="AF182" s="128"/>
      <c r="AG182" s="111"/>
    </row>
    <row r="183" spans="1:33" ht="22.2" customHeight="1" x14ac:dyDescent="0.4">
      <c r="A183" s="100" t="s">
        <v>212</v>
      </c>
      <c r="B183" s="44">
        <v>1369832.44</v>
      </c>
      <c r="C183" s="44">
        <v>893083.16399999999</v>
      </c>
      <c r="D183" s="44">
        <v>195055.25200000001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2457970.8559999997</v>
      </c>
      <c r="AD183" s="97"/>
      <c r="AE183" s="52">
        <f t="shared" si="20"/>
        <v>2457.9708559999995</v>
      </c>
      <c r="AF183" s="128"/>
      <c r="AG183" s="44">
        <v>1517.105894</v>
      </c>
    </row>
    <row r="184" spans="1:33" ht="22.2" customHeight="1" x14ac:dyDescent="0.4">
      <c r="A184" s="20" t="s">
        <v>213</v>
      </c>
      <c r="B184" s="63"/>
      <c r="C184" s="37">
        <f>SUM(C185:C186)</f>
        <v>21234926.691</v>
      </c>
      <c r="D184" s="37">
        <f>SUM(D185:D186)</f>
        <v>4617121.1050000004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25852047.796</v>
      </c>
      <c r="AD184" s="97"/>
      <c r="AE184" s="37">
        <f t="shared" si="20"/>
        <v>25852.047795999999</v>
      </c>
      <c r="AF184" s="128"/>
      <c r="AG184" s="76"/>
    </row>
    <row r="185" spans="1:33" ht="22.2" customHeight="1" x14ac:dyDescent="0.4">
      <c r="A185" s="100" t="s">
        <v>214</v>
      </c>
      <c r="B185" s="63"/>
      <c r="C185" s="44">
        <v>4206709.9040000001</v>
      </c>
      <c r="D185" s="44">
        <v>2261009.3450000002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6467719.2489999998</v>
      </c>
      <c r="AD185" s="97"/>
      <c r="AE185" s="52">
        <f t="shared" si="20"/>
        <v>6467.7192489999998</v>
      </c>
      <c r="AF185" s="128"/>
      <c r="AG185" s="111"/>
    </row>
    <row r="186" spans="1:33" ht="22.2" customHeight="1" x14ac:dyDescent="0.4">
      <c r="A186" s="100" t="s">
        <v>215</v>
      </c>
      <c r="B186" s="63"/>
      <c r="C186" s="44">
        <v>17028216.787</v>
      </c>
      <c r="D186" s="44">
        <v>2356111.7599999998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19384328.546999998</v>
      </c>
      <c r="AD186" s="97"/>
      <c r="AE186" s="52">
        <f t="shared" si="20"/>
        <v>19384.328546999997</v>
      </c>
      <c r="AF186" s="128"/>
      <c r="AG186" s="111"/>
    </row>
    <row r="187" spans="1:33" ht="22.2" customHeight="1" x14ac:dyDescent="0.4">
      <c r="A187" s="20" t="s">
        <v>216</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2"/>
      <c r="AC187" s="125"/>
      <c r="AD187" s="97"/>
      <c r="AE187" s="125">
        <f t="shared" si="20"/>
        <v>0</v>
      </c>
      <c r="AF187" s="128"/>
      <c r="AG187" s="127"/>
    </row>
    <row r="188" spans="1:33" ht="22.2" customHeight="1" x14ac:dyDescent="0.4">
      <c r="A188" s="140" t="s">
        <v>217</v>
      </c>
      <c r="B188" s="137">
        <f t="shared" ref="B188:L188" si="26">B10+B68+B121+B175</f>
        <v>553075390.1965512</v>
      </c>
      <c r="C188" s="137">
        <f t="shared" si="26"/>
        <v>162994774.7318154</v>
      </c>
      <c r="D188" s="137">
        <f t="shared" si="26"/>
        <v>35566820.879651263</v>
      </c>
      <c r="E188" s="137">
        <f t="shared" si="26"/>
        <v>447.51600000000008</v>
      </c>
      <c r="F188" s="137">
        <f t="shared" si="26"/>
        <v>820033.071</v>
      </c>
      <c r="G188" s="137">
        <f t="shared" si="26"/>
        <v>17542.148000000001</v>
      </c>
      <c r="H188" s="137">
        <f t="shared" si="26"/>
        <v>23630.975999999999</v>
      </c>
      <c r="I188" s="137">
        <f t="shared" si="26"/>
        <v>286.49599999999998</v>
      </c>
      <c r="J188" s="137">
        <f t="shared" si="26"/>
        <v>6267306.7520000003</v>
      </c>
      <c r="K188" s="137">
        <f t="shared" si="26"/>
        <v>7295438.733</v>
      </c>
      <c r="L188" s="137">
        <f t="shared" si="26"/>
        <v>187784.92600000001</v>
      </c>
      <c r="M188" s="137">
        <f>M175+M121+M68+M10</f>
        <v>495597.141</v>
      </c>
      <c r="N188" s="137">
        <f t="shared" ref="N188:AC188" si="27">N10+N68+N121+N175</f>
        <v>462335.571</v>
      </c>
      <c r="O188" s="137">
        <f t="shared" si="27"/>
        <v>26662.978999999999</v>
      </c>
      <c r="P188" s="137">
        <f t="shared" si="27"/>
        <v>60393.222999999998</v>
      </c>
      <c r="Q188" s="137">
        <f t="shared" si="27"/>
        <v>4774.2340000000004</v>
      </c>
      <c r="R188" s="137">
        <f t="shared" si="27"/>
        <v>486.46300000000002</v>
      </c>
      <c r="S188" s="137">
        <f t="shared" si="27"/>
        <v>1477369.6359999999</v>
      </c>
      <c r="T188" s="137">
        <f t="shared" si="27"/>
        <v>1.4659757999999998</v>
      </c>
      <c r="U188" s="137">
        <f t="shared" si="27"/>
        <v>22404.692673183858</v>
      </c>
      <c r="V188" s="137">
        <f t="shared" si="27"/>
        <v>2343.3500898166767</v>
      </c>
      <c r="W188" s="137">
        <f t="shared" si="27"/>
        <v>192.72060000000002</v>
      </c>
      <c r="X188" s="137">
        <f t="shared" si="27"/>
        <v>2.1654000000000001E-3</v>
      </c>
      <c r="Y188" s="137">
        <f t="shared" si="27"/>
        <v>68.96284708224762</v>
      </c>
      <c r="Z188" s="137">
        <f t="shared" si="27"/>
        <v>1.4436E-3</v>
      </c>
      <c r="AA188" s="137">
        <f t="shared" si="27"/>
        <v>1967.6591982390892</v>
      </c>
      <c r="AB188" s="137">
        <f t="shared" si="27"/>
        <v>217012.24665952529</v>
      </c>
      <c r="AC188" s="137">
        <f t="shared" si="27"/>
        <v>769021066.7746706</v>
      </c>
      <c r="AD188" s="97"/>
      <c r="AE188" s="137">
        <f t="shared" si="20"/>
        <v>769021.06677467062</v>
      </c>
      <c r="AF188" s="91"/>
      <c r="AG188" s="147">
        <f>AG175+AG121+AG68+AG10</f>
        <v>71742.928766157624</v>
      </c>
    </row>
    <row r="189" spans="1:33" ht="22.2" customHeight="1" thickBot="1" x14ac:dyDescent="0.45">
      <c r="A189" s="153"/>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82"/>
      <c r="AC189" s="155"/>
      <c r="AD189" s="41"/>
      <c r="AE189" s="155"/>
      <c r="AF189" s="91"/>
      <c r="AG189" s="83"/>
    </row>
    <row r="190" spans="1:33" ht="22.2" customHeight="1" x14ac:dyDescent="0.4">
      <c r="A190" s="16" t="s">
        <v>218</v>
      </c>
      <c r="B190" s="62">
        <f>B191+B192</f>
        <v>5246167.2850000001</v>
      </c>
      <c r="C190" s="62">
        <f>C191+C192</f>
        <v>1011.462</v>
      </c>
      <c r="D190" s="62">
        <f>D191+D192</f>
        <v>38291.071900000003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5285469.8189000003</v>
      </c>
      <c r="AD190" s="41"/>
      <c r="AE190" s="37">
        <f t="shared" si="20"/>
        <v>5285.4698189000001</v>
      </c>
      <c r="AF190" s="91"/>
      <c r="AG190" s="37">
        <f>AG191</f>
        <v>74.216700000000003</v>
      </c>
    </row>
    <row r="191" spans="1:33" ht="22.2" customHeight="1" x14ac:dyDescent="0.4">
      <c r="A191" s="25" t="s">
        <v>219</v>
      </c>
      <c r="B191" s="44">
        <v>5246167.2850000001</v>
      </c>
      <c r="C191" s="44">
        <v>1011.462</v>
      </c>
      <c r="D191" s="44">
        <v>38291.071900000003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5285469.8189000003</v>
      </c>
      <c r="AD191" s="41"/>
      <c r="AE191" s="52">
        <f t="shared" si="20"/>
        <v>5285.4698189000001</v>
      </c>
      <c r="AF191" s="91"/>
      <c r="AG191" s="52">
        <v>74.216700000000003</v>
      </c>
    </row>
    <row r="192" spans="1:33" ht="22.2" customHeight="1" thickBot="1" x14ac:dyDescent="0.45">
      <c r="A192" s="26" t="s">
        <v>220</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6"/>
      <c r="AC192" s="126"/>
      <c r="AD192" s="41"/>
      <c r="AE192" s="126"/>
      <c r="AF192" s="91"/>
      <c r="AG192" s="109"/>
    </row>
    <row r="193" spans="1:33" ht="22.2" customHeight="1" thickBot="1" x14ac:dyDescent="0.45">
      <c r="A193" s="118" t="s">
        <v>221</v>
      </c>
      <c r="B193" s="161">
        <v>34011182</v>
      </c>
      <c r="C193" s="143"/>
      <c r="D193" s="142"/>
      <c r="E193" s="141"/>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8"/>
      <c r="AC193" s="31">
        <f>SUM(B193:AB193)</f>
        <v>34011182</v>
      </c>
      <c r="AE193" s="31">
        <f t="shared" si="20"/>
        <v>34011.182000000001</v>
      </c>
      <c r="AF193" s="91"/>
      <c r="AG193" s="87"/>
    </row>
    <row r="194" spans="1:33" ht="27.6" customHeight="1" thickBot="1" x14ac:dyDescent="0.45">
      <c r="A194" s="88"/>
      <c r="AB194" s="89"/>
    </row>
    <row r="195" spans="1:33" ht="66" customHeight="1" x14ac:dyDescent="0.4">
      <c r="A195" s="17"/>
      <c r="B195" s="146" t="s">
        <v>222</v>
      </c>
      <c r="C195" s="148">
        <v>1</v>
      </c>
      <c r="D195" s="183" t="s">
        <v>223</v>
      </c>
      <c r="E195" s="183"/>
      <c r="F195" s="183"/>
      <c r="G195" s="183"/>
      <c r="H195" s="183"/>
      <c r="I195" s="183"/>
      <c r="J195" s="183"/>
      <c r="K195" s="183"/>
      <c r="L195" s="183"/>
      <c r="M195" s="183"/>
      <c r="N195" s="184"/>
      <c r="AC195" s="90"/>
    </row>
    <row r="196" spans="1:33" ht="37.200000000000003" customHeight="1" x14ac:dyDescent="0.4">
      <c r="B196" s="144"/>
      <c r="C196" s="149">
        <v>2</v>
      </c>
      <c r="D196" s="185" t="s">
        <v>224</v>
      </c>
      <c r="E196" s="185"/>
      <c r="F196" s="185"/>
      <c r="G196" s="185"/>
      <c r="H196" s="185"/>
      <c r="I196" s="185"/>
      <c r="J196" s="185"/>
      <c r="K196" s="185"/>
      <c r="L196" s="185"/>
      <c r="M196" s="185"/>
      <c r="N196" s="186"/>
    </row>
    <row r="197" spans="1:33" ht="42.6" customHeight="1" x14ac:dyDescent="0.4">
      <c r="A197" s="88"/>
      <c r="B197" s="144"/>
      <c r="C197" s="149">
        <v>3</v>
      </c>
      <c r="D197" s="185" t="s">
        <v>225</v>
      </c>
      <c r="E197" s="185"/>
      <c r="F197" s="185"/>
      <c r="G197" s="185"/>
      <c r="H197" s="185"/>
      <c r="I197" s="185"/>
      <c r="J197" s="185"/>
      <c r="K197" s="185"/>
      <c r="L197" s="185"/>
      <c r="M197" s="185"/>
      <c r="N197" s="186"/>
    </row>
    <row r="198" spans="1:33" ht="27.6" customHeight="1" x14ac:dyDescent="0.4">
      <c r="A198" s="88"/>
      <c r="B198" s="144"/>
      <c r="C198" s="149">
        <v>4</v>
      </c>
      <c r="D198" s="185" t="s">
        <v>226</v>
      </c>
      <c r="E198" s="185"/>
      <c r="F198" s="185"/>
      <c r="G198" s="185"/>
      <c r="H198" s="185"/>
      <c r="I198" s="185"/>
      <c r="J198" s="185"/>
      <c r="K198" s="185"/>
      <c r="L198" s="185"/>
      <c r="M198" s="185"/>
      <c r="N198" s="186"/>
    </row>
    <row r="199" spans="1:33" ht="35.25" customHeight="1" thickBot="1" x14ac:dyDescent="0.45">
      <c r="A199" s="88"/>
      <c r="B199" s="145"/>
      <c r="C199" s="150">
        <v>5</v>
      </c>
      <c r="D199" s="187" t="s">
        <v>227</v>
      </c>
      <c r="E199" s="187"/>
      <c r="F199" s="187"/>
      <c r="G199" s="187"/>
      <c r="H199" s="187"/>
      <c r="I199" s="187"/>
      <c r="J199" s="187"/>
      <c r="K199" s="187"/>
      <c r="L199" s="187"/>
      <c r="M199" s="187"/>
      <c r="N199" s="188"/>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47D5-7E50-4C0C-8265-97C78037E710}">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6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69"/>
      <c r="B3" s="5">
        <v>2017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70"/>
      <c r="B4" s="171" t="s">
        <v>3</v>
      </c>
      <c r="C4" s="171" t="s">
        <v>4</v>
      </c>
      <c r="D4" s="171" t="s">
        <v>5</v>
      </c>
      <c r="E4" s="165" t="s">
        <v>6</v>
      </c>
      <c r="F4" s="166"/>
      <c r="G4" s="166"/>
      <c r="H4" s="166"/>
      <c r="I4" s="166"/>
      <c r="J4" s="166"/>
      <c r="K4" s="166"/>
      <c r="L4" s="166"/>
      <c r="M4" s="166"/>
      <c r="N4" s="166"/>
      <c r="O4" s="166"/>
      <c r="P4" s="166"/>
      <c r="Q4" s="166"/>
      <c r="R4" s="166"/>
      <c r="S4" s="166"/>
      <c r="T4" s="167"/>
      <c r="U4" s="165" t="s">
        <v>7</v>
      </c>
      <c r="V4" s="166"/>
      <c r="W4" s="166"/>
      <c r="X4" s="166"/>
      <c r="Y4" s="166"/>
      <c r="Z4" s="167"/>
      <c r="AA4" s="173" t="s">
        <v>8</v>
      </c>
      <c r="AB4" s="171" t="s">
        <v>9</v>
      </c>
      <c r="AC4" s="175" t="s">
        <v>10</v>
      </c>
      <c r="AD4" s="91"/>
      <c r="AE4" s="175" t="s">
        <v>11</v>
      </c>
      <c r="AF4" s="91"/>
      <c r="AG4" s="177" t="s">
        <v>12</v>
      </c>
    </row>
    <row r="5" spans="1:33" ht="27.6" customHeight="1" thickBot="1" x14ac:dyDescent="0.45">
      <c r="A5" s="170"/>
      <c r="B5" s="172"/>
      <c r="C5" s="172"/>
      <c r="D5" s="17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74"/>
      <c r="AB5" s="172"/>
      <c r="AC5" s="176"/>
      <c r="AD5" s="91"/>
      <c r="AE5" s="176"/>
      <c r="AF5" s="91"/>
      <c r="AG5" s="178"/>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76"/>
      <c r="AD6" s="92"/>
      <c r="AE6" s="176"/>
      <c r="AF6" s="92"/>
      <c r="AG6" s="179"/>
    </row>
    <row r="7" spans="1:33" ht="27.6" customHeight="1" thickBot="1" x14ac:dyDescent="0.45">
      <c r="A7" s="133" t="s">
        <v>36</v>
      </c>
      <c r="B7" s="134">
        <f>(B10+B68+B121+B175)+(B156+B159+B162+B165+B168)</f>
        <v>555050020.0996213</v>
      </c>
      <c r="C7" s="134">
        <f>C10+C68+C121+C150+C175</f>
        <v>158999395.39974046</v>
      </c>
      <c r="D7" s="134">
        <f>D10+D68+D121+D150+D175</f>
        <v>37454926.747053392</v>
      </c>
      <c r="E7" s="134">
        <f>E68</f>
        <v>485.08800000000008</v>
      </c>
      <c r="F7" s="134">
        <f t="shared" ref="F7:AB7" si="0">F68</f>
        <v>1069892.7390000001</v>
      </c>
      <c r="G7" s="134">
        <f t="shared" si="0"/>
        <v>22486.472000000002</v>
      </c>
      <c r="H7" s="134">
        <f t="shared" si="0"/>
        <v>28702.977999999999</v>
      </c>
      <c r="I7" s="134">
        <f t="shared" si="0"/>
        <v>284.34699999999998</v>
      </c>
      <c r="J7" s="134">
        <f t="shared" si="0"/>
        <v>6632266.4679999994</v>
      </c>
      <c r="K7" s="134">
        <f t="shared" si="0"/>
        <v>7557352.0480000004</v>
      </c>
      <c r="L7" s="134">
        <f t="shared" si="0"/>
        <v>213764.00700000001</v>
      </c>
      <c r="M7" s="134">
        <f t="shared" si="0"/>
        <v>472544.16600000003</v>
      </c>
      <c r="N7" s="134">
        <f t="shared" si="0"/>
        <v>503262.533</v>
      </c>
      <c r="O7" s="134">
        <f t="shared" si="0"/>
        <v>32596.57</v>
      </c>
      <c r="P7" s="134">
        <f t="shared" si="0"/>
        <v>67187.519</v>
      </c>
      <c r="Q7" s="134">
        <f t="shared" si="0"/>
        <v>41442.173000000003</v>
      </c>
      <c r="R7" s="134">
        <f t="shared" si="0"/>
        <v>467.00400000000002</v>
      </c>
      <c r="S7" s="134">
        <f t="shared" si="0"/>
        <v>1391374.42</v>
      </c>
      <c r="T7" s="134">
        <f t="shared" si="0"/>
        <v>1.5890544000000002</v>
      </c>
      <c r="U7" s="134">
        <f t="shared" si="0"/>
        <v>22527.36217450089</v>
      </c>
      <c r="V7" s="134">
        <f t="shared" si="0"/>
        <v>2422.4505496999818</v>
      </c>
      <c r="W7" s="134">
        <f t="shared" si="0"/>
        <v>208.90080000000003</v>
      </c>
      <c r="X7" s="134">
        <f t="shared" si="0"/>
        <v>2.3472000000000007E-3</v>
      </c>
      <c r="Y7" s="134">
        <f t="shared" si="0"/>
        <v>74.748959795772208</v>
      </c>
      <c r="Z7" s="134">
        <f t="shared" si="0"/>
        <v>1.5648000000000001E-3</v>
      </c>
      <c r="AA7" s="134">
        <f t="shared" si="0"/>
        <v>2124.6163101041129</v>
      </c>
      <c r="AB7" s="134">
        <f t="shared" si="0"/>
        <v>257088.54414367705</v>
      </c>
      <c r="AC7" s="139">
        <f>SUM(B7:AB7)</f>
        <v>769822898.99431932</v>
      </c>
      <c r="AE7" s="139">
        <f>AC7/1000</f>
        <v>769822.89899431937</v>
      </c>
      <c r="AF7" s="130"/>
      <c r="AG7" s="180">
        <f>AG10+AG68+AG121+AG150+AG175</f>
        <v>77426.986069219609</v>
      </c>
    </row>
    <row r="8" spans="1:33" ht="27.6" customHeight="1" thickBot="1" x14ac:dyDescent="0.45">
      <c r="A8" s="131" t="s">
        <v>37</v>
      </c>
      <c r="B8" s="132">
        <f>(B10+B68+B121+B175)</f>
        <v>537470393.62042129</v>
      </c>
      <c r="C8" s="132">
        <f t="shared" ref="C8:AB8" si="1">(C10+C68+C121+C175)</f>
        <v>158170762.29804048</v>
      </c>
      <c r="D8" s="132">
        <f t="shared" si="1"/>
        <v>37015339.14435339</v>
      </c>
      <c r="E8" s="132">
        <f t="shared" si="1"/>
        <v>485.08800000000008</v>
      </c>
      <c r="F8" s="132">
        <f t="shared" si="1"/>
        <v>1069892.7390000001</v>
      </c>
      <c r="G8" s="132">
        <f t="shared" si="1"/>
        <v>22486.472000000002</v>
      </c>
      <c r="H8" s="132">
        <f t="shared" si="1"/>
        <v>28702.977999999999</v>
      </c>
      <c r="I8" s="132">
        <f t="shared" si="1"/>
        <v>284.34699999999998</v>
      </c>
      <c r="J8" s="132">
        <f t="shared" si="1"/>
        <v>6632266.4679999994</v>
      </c>
      <c r="K8" s="132">
        <f t="shared" si="1"/>
        <v>7557352.0480000004</v>
      </c>
      <c r="L8" s="132">
        <f t="shared" si="1"/>
        <v>213764.00700000001</v>
      </c>
      <c r="M8" s="132">
        <f t="shared" si="1"/>
        <v>472544.16600000003</v>
      </c>
      <c r="N8" s="132">
        <f t="shared" si="1"/>
        <v>503262.533</v>
      </c>
      <c r="O8" s="132">
        <f t="shared" si="1"/>
        <v>32596.57</v>
      </c>
      <c r="P8" s="132">
        <f t="shared" si="1"/>
        <v>67187.519</v>
      </c>
      <c r="Q8" s="132">
        <f t="shared" si="1"/>
        <v>41442.173000000003</v>
      </c>
      <c r="R8" s="132">
        <f t="shared" si="1"/>
        <v>467.00400000000002</v>
      </c>
      <c r="S8" s="132">
        <f t="shared" si="1"/>
        <v>1391374.42</v>
      </c>
      <c r="T8" s="132">
        <f t="shared" si="1"/>
        <v>1.5890544000000002</v>
      </c>
      <c r="U8" s="132">
        <f t="shared" si="1"/>
        <v>22527.36217450089</v>
      </c>
      <c r="V8" s="132">
        <f t="shared" si="1"/>
        <v>2422.4505496999818</v>
      </c>
      <c r="W8" s="132">
        <f t="shared" si="1"/>
        <v>208.90080000000003</v>
      </c>
      <c r="X8" s="132">
        <f t="shared" si="1"/>
        <v>2.3472000000000007E-3</v>
      </c>
      <c r="Y8" s="132">
        <f t="shared" si="1"/>
        <v>74.748959795772208</v>
      </c>
      <c r="Z8" s="132">
        <f t="shared" si="1"/>
        <v>1.5648000000000001E-3</v>
      </c>
      <c r="AA8" s="132">
        <f t="shared" si="1"/>
        <v>2124.6163101041129</v>
      </c>
      <c r="AB8" s="132">
        <f t="shared" si="1"/>
        <v>257088.54414367705</v>
      </c>
      <c r="AC8" s="135">
        <f>SUM(B8:AB8)</f>
        <v>750975051.81071937</v>
      </c>
      <c r="AE8" s="135">
        <f>AC8/1000</f>
        <v>750975.05181071942</v>
      </c>
      <c r="AF8" s="130"/>
      <c r="AG8" s="181"/>
    </row>
    <row r="9" spans="1:33" ht="27.6" customHeight="1" thickBot="1" x14ac:dyDescent="0.45">
      <c r="A9" s="136" t="s">
        <v>38</v>
      </c>
      <c r="B9" s="137">
        <f>B10+B68+B121+B150+B175</f>
        <v>347415051.77102131</v>
      </c>
      <c r="C9" s="137">
        <f t="shared" ref="C9:D9" si="2">C10+C68+C121+C150+C175</f>
        <v>158999395.39974046</v>
      </c>
      <c r="D9" s="137">
        <f t="shared" si="2"/>
        <v>37454926.747053392</v>
      </c>
      <c r="E9" s="137">
        <f t="shared" ref="E9:AB9" si="3">E10+E68+E121+E175</f>
        <v>485.08800000000008</v>
      </c>
      <c r="F9" s="137">
        <f t="shared" si="3"/>
        <v>1069892.7390000001</v>
      </c>
      <c r="G9" s="137">
        <f t="shared" si="3"/>
        <v>22486.472000000002</v>
      </c>
      <c r="H9" s="137">
        <f t="shared" si="3"/>
        <v>28702.977999999999</v>
      </c>
      <c r="I9" s="137">
        <f t="shared" si="3"/>
        <v>284.34699999999998</v>
      </c>
      <c r="J9" s="137">
        <f t="shared" si="3"/>
        <v>6632266.4679999994</v>
      </c>
      <c r="K9" s="137">
        <f t="shared" si="3"/>
        <v>7557352.0480000004</v>
      </c>
      <c r="L9" s="137">
        <f t="shared" si="3"/>
        <v>213764.00700000001</v>
      </c>
      <c r="M9" s="137">
        <f t="shared" si="3"/>
        <v>472544.16600000003</v>
      </c>
      <c r="N9" s="137">
        <f t="shared" si="3"/>
        <v>503262.533</v>
      </c>
      <c r="O9" s="137">
        <f t="shared" si="3"/>
        <v>32596.57</v>
      </c>
      <c r="P9" s="137">
        <f t="shared" si="3"/>
        <v>67187.519</v>
      </c>
      <c r="Q9" s="137">
        <f t="shared" si="3"/>
        <v>41442.173000000003</v>
      </c>
      <c r="R9" s="137">
        <f t="shared" si="3"/>
        <v>467.00400000000002</v>
      </c>
      <c r="S9" s="137">
        <f t="shared" si="3"/>
        <v>1391374.42</v>
      </c>
      <c r="T9" s="137">
        <f t="shared" si="3"/>
        <v>1.5890544000000002</v>
      </c>
      <c r="U9" s="137">
        <f t="shared" si="3"/>
        <v>22527.36217450089</v>
      </c>
      <c r="V9" s="137">
        <f t="shared" si="3"/>
        <v>2422.4505496999818</v>
      </c>
      <c r="W9" s="137">
        <f t="shared" si="3"/>
        <v>208.90080000000003</v>
      </c>
      <c r="X9" s="137">
        <f t="shared" si="3"/>
        <v>2.3472000000000007E-3</v>
      </c>
      <c r="Y9" s="137">
        <f t="shared" si="3"/>
        <v>74.748959795772208</v>
      </c>
      <c r="Z9" s="137">
        <f t="shared" si="3"/>
        <v>1.5648000000000001E-3</v>
      </c>
      <c r="AA9" s="137">
        <f t="shared" si="3"/>
        <v>2124.6163101041129</v>
      </c>
      <c r="AB9" s="137">
        <f t="shared" si="3"/>
        <v>257088.54414367705</v>
      </c>
      <c r="AC9" s="138">
        <f>SUM(B9:AB9)</f>
        <v>562187930.66571939</v>
      </c>
      <c r="AE9" s="138">
        <f t="shared" ref="AE9:AE72" si="4">AC9/1000</f>
        <v>562187.93066571944</v>
      </c>
      <c r="AF9" s="129"/>
      <c r="AG9" s="182"/>
    </row>
    <row r="10" spans="1:33" ht="22.2" customHeight="1" x14ac:dyDescent="0.4">
      <c r="A10" s="32" t="s">
        <v>39</v>
      </c>
      <c r="B10" s="33">
        <f>B11+B53</f>
        <v>483952479.50315911</v>
      </c>
      <c r="C10" s="33">
        <f>C11+C53</f>
        <v>17888028.11315126</v>
      </c>
      <c r="D10" s="33">
        <f>D11+D53</f>
        <v>2870235.3423061725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504710742.95861661</v>
      </c>
      <c r="AD10" s="41"/>
      <c r="AE10" s="57">
        <f t="shared" si="4"/>
        <v>504710.74295861664</v>
      </c>
      <c r="AF10" s="128"/>
      <c r="AG10" s="36">
        <f>AG11+AG53</f>
        <v>65622.364612219608</v>
      </c>
    </row>
    <row r="11" spans="1:33" ht="22.2" customHeight="1" x14ac:dyDescent="0.4">
      <c r="A11" s="20" t="s">
        <v>40</v>
      </c>
      <c r="B11" s="37">
        <f>B12+B18+B43+B49</f>
        <v>472949724.45315909</v>
      </c>
      <c r="C11" s="37">
        <f>C12+C18+C43+C49</f>
        <v>1113675.9231512591</v>
      </c>
      <c r="D11" s="37">
        <f>D12+D18+D43+D49</f>
        <v>2846051.5423061727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476909451.91861659</v>
      </c>
      <c r="AD11" s="41"/>
      <c r="AE11" s="37">
        <f t="shared" si="4"/>
        <v>476909.4519186166</v>
      </c>
      <c r="AF11" s="128"/>
      <c r="AG11" s="37">
        <f>AG12+AG18+AG43+AG49</f>
        <v>60384.164371750798</v>
      </c>
    </row>
    <row r="12" spans="1:33" ht="22.2" customHeight="1" x14ac:dyDescent="0.4">
      <c r="A12" s="20" t="s">
        <v>41</v>
      </c>
      <c r="B12" s="37">
        <f>B13+B14+B15</f>
        <v>199587911.52550721</v>
      </c>
      <c r="C12" s="37">
        <f>C13+C14+C15</f>
        <v>162849.08326401986</v>
      </c>
      <c r="D12" s="37">
        <f>D13+D14+D15</f>
        <v>315510.82948210923</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200066271.43825334</v>
      </c>
      <c r="AD12" s="41"/>
      <c r="AE12" s="37">
        <f t="shared" si="4"/>
        <v>200066.27143825334</v>
      </c>
      <c r="AF12" s="128"/>
      <c r="AG12" s="37">
        <f>SUM(AG13:AG15)</f>
        <v>8727.5281513348418</v>
      </c>
    </row>
    <row r="13" spans="1:33" ht="22.2" customHeight="1" x14ac:dyDescent="0.4">
      <c r="A13" s="21" t="s">
        <v>42</v>
      </c>
      <c r="B13" s="44">
        <v>164315188.77536801</v>
      </c>
      <c r="C13" s="44">
        <v>143806.83814044399</v>
      </c>
      <c r="D13" s="44">
        <v>293212.31107041199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164752207.92457888</v>
      </c>
      <c r="AD13" s="41"/>
      <c r="AE13" s="52">
        <f t="shared" si="4"/>
        <v>164752.20792457886</v>
      </c>
      <c r="AF13" s="128"/>
      <c r="AG13" s="44">
        <v>7756.5888445517303</v>
      </c>
    </row>
    <row r="14" spans="1:33" ht="22.2" customHeight="1" x14ac:dyDescent="0.4">
      <c r="A14" s="21" t="s">
        <v>43</v>
      </c>
      <c r="B14" s="44">
        <v>10829598.059764599</v>
      </c>
      <c r="C14" s="44">
        <v>6720.9930102771896</v>
      </c>
      <c r="D14" s="44">
        <v>8931.8139932980503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10845250.866768174</v>
      </c>
      <c r="AD14" s="41"/>
      <c r="AE14" s="52">
        <f t="shared" si="4"/>
        <v>10845.250866768174</v>
      </c>
      <c r="AF14" s="128"/>
      <c r="AG14" s="44">
        <v>665.65840713207399</v>
      </c>
    </row>
    <row r="15" spans="1:33" ht="22.2" customHeight="1" x14ac:dyDescent="0.4">
      <c r="A15" s="21" t="s">
        <v>44</v>
      </c>
      <c r="B15" s="49">
        <f>B16+B17</f>
        <v>24443124.690374598</v>
      </c>
      <c r="C15" s="49">
        <f t="shared" ref="C15:D15" si="5">C16+C17</f>
        <v>12321.2521132987</v>
      </c>
      <c r="D15" s="49">
        <f t="shared" si="5"/>
        <v>13366.7044183992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24468812.646906294</v>
      </c>
      <c r="AD15" s="41"/>
      <c r="AE15" s="52">
        <f t="shared" si="4"/>
        <v>24468.812646906295</v>
      </c>
      <c r="AF15" s="128"/>
      <c r="AG15" s="44">
        <v>305.28089965103698</v>
      </c>
    </row>
    <row r="16" spans="1:33" ht="22.2" customHeight="1" x14ac:dyDescent="0.4">
      <c r="A16" s="98" t="s">
        <v>45</v>
      </c>
      <c r="B16" s="44">
        <v>1173187.112</v>
      </c>
      <c r="C16" s="44">
        <v>5.8659999999999997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1173192.9779999999</v>
      </c>
      <c r="AD16" s="41"/>
      <c r="AE16" s="52">
        <f t="shared" si="4"/>
        <v>1173.1929779999998</v>
      </c>
      <c r="AF16" s="128"/>
      <c r="AG16" s="73"/>
    </row>
    <row r="17" spans="1:33" ht="22.2" customHeight="1" x14ac:dyDescent="0.4">
      <c r="A17" s="99" t="s">
        <v>46</v>
      </c>
      <c r="B17" s="44">
        <v>23269937.578374598</v>
      </c>
      <c r="C17" s="44">
        <v>12315.3861132987</v>
      </c>
      <c r="D17" s="44">
        <v>13366.7044183992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23295619.668906294</v>
      </c>
      <c r="AD17" s="41"/>
      <c r="AE17" s="52">
        <f t="shared" si="4"/>
        <v>23295.619668906293</v>
      </c>
      <c r="AF17" s="128"/>
      <c r="AG17" s="44">
        <v>305.28089965103698</v>
      </c>
    </row>
    <row r="18" spans="1:33" ht="22.2" customHeight="1" x14ac:dyDescent="0.4">
      <c r="A18" s="20" t="s">
        <v>47</v>
      </c>
      <c r="B18" s="37">
        <f>B19+B20+B21+B25+B26+B33+B35+B37+B39</f>
        <v>68058537.369651929</v>
      </c>
      <c r="C18" s="37">
        <f>C19+C20+C21+C25+C26+C33+C35+C37+C39</f>
        <v>118607.62818723923</v>
      </c>
      <c r="D18" s="37">
        <f>D19+D20+D21+D25+D26+D33+D35+D37+D39</f>
        <v>158975.38882406367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68336120.386663228</v>
      </c>
      <c r="AD18" s="110"/>
      <c r="AE18" s="37">
        <f t="shared" si="4"/>
        <v>68336.120386663228</v>
      </c>
      <c r="AF18" s="128"/>
      <c r="AG18" s="37">
        <f>SUM(AG19,AG20,AG21,AG25,AG26,AG32,AG33,AG34,AG35,AG36,AG37,AG38,AG39)</f>
        <v>812.32506171595435</v>
      </c>
    </row>
    <row r="19" spans="1:33" ht="22.2" customHeight="1" x14ac:dyDescent="0.4">
      <c r="A19" s="100" t="s">
        <v>48</v>
      </c>
      <c r="B19" s="44">
        <v>4508132.9077003878</v>
      </c>
      <c r="C19" s="44">
        <v>2273.4947446340138</v>
      </c>
      <c r="D19" s="44">
        <v>2303.3727694757308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4512709.7752144979</v>
      </c>
      <c r="AD19" s="110"/>
      <c r="AE19" s="44">
        <f t="shared" si="4"/>
        <v>4512.7097752144982</v>
      </c>
      <c r="AF19" s="128"/>
      <c r="AG19" s="44">
        <v>18.90413705511989</v>
      </c>
    </row>
    <row r="20" spans="1:33" ht="22.2" customHeight="1" x14ac:dyDescent="0.4">
      <c r="A20" s="100" t="s">
        <v>49</v>
      </c>
      <c r="B20" s="44">
        <v>1695970.457797298</v>
      </c>
      <c r="C20" s="44">
        <v>1083.9011899706466</v>
      </c>
      <c r="D20" s="44">
        <v>1514.15337048581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1698568.5123577544</v>
      </c>
      <c r="AD20" s="110"/>
      <c r="AE20" s="52">
        <f t="shared" si="4"/>
        <v>1698.5685123577543</v>
      </c>
      <c r="AF20" s="128"/>
      <c r="AG20" s="44">
        <v>11.656782452161357</v>
      </c>
    </row>
    <row r="21" spans="1:33" ht="22.2" customHeight="1" x14ac:dyDescent="0.4">
      <c r="A21" s="100" t="s">
        <v>50</v>
      </c>
      <c r="B21" s="44">
        <f>SUM(B22:B24)</f>
        <v>4975677.5046824655</v>
      </c>
      <c r="C21" s="44">
        <f>SUM(C22:C24)</f>
        <v>2696.5146981755097</v>
      </c>
      <c r="D21" s="44">
        <f>SUM(D22:D24)</f>
        <v>3031.66886554539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4981405.6882461868</v>
      </c>
      <c r="AD21" s="110"/>
      <c r="AE21" s="52">
        <f t="shared" si="4"/>
        <v>4981.4056882461864</v>
      </c>
      <c r="AF21" s="128"/>
      <c r="AG21" s="44">
        <v>22.630056859614044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4963716.0929633863</v>
      </c>
      <c r="C23" s="44">
        <v>2682.7226876805944</v>
      </c>
      <c r="D23" s="44">
        <v>3005.5625599657287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4969404.3782110326</v>
      </c>
      <c r="AD23" s="110"/>
      <c r="AE23" s="52">
        <f t="shared" si="4"/>
        <v>4969.404378211033</v>
      </c>
      <c r="AF23" s="128"/>
      <c r="AG23" s="44">
        <v>22.577053555662896</v>
      </c>
    </row>
    <row r="24" spans="1:33" ht="22.2" customHeight="1" x14ac:dyDescent="0.4">
      <c r="A24" s="99" t="s">
        <v>53</v>
      </c>
      <c r="B24" s="44">
        <v>11961.411719079259</v>
      </c>
      <c r="C24" s="44">
        <v>13.792010494915257</v>
      </c>
      <c r="D24" s="44">
        <v>26.106305579661019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12001.310035153834</v>
      </c>
      <c r="AD24" s="110"/>
      <c r="AE24" s="52">
        <f t="shared" si="4"/>
        <v>12.001310035153834</v>
      </c>
      <c r="AF24" s="128"/>
      <c r="AG24" s="44">
        <v>5.3003303951147489E-2</v>
      </c>
    </row>
    <row r="25" spans="1:33" ht="22.2" customHeight="1" x14ac:dyDescent="0.4">
      <c r="A25" s="100" t="s">
        <v>54</v>
      </c>
      <c r="B25" s="44">
        <v>2603185.7383403741</v>
      </c>
      <c r="C25" s="44">
        <v>1674.9212828666421</v>
      </c>
      <c r="D25" s="44">
        <v>2301.8730248216671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2607162.5326480623</v>
      </c>
      <c r="AD25" s="110"/>
      <c r="AE25" s="52">
        <f t="shared" si="4"/>
        <v>2607.1625326480626</v>
      </c>
      <c r="AF25" s="128"/>
      <c r="AG25" s="44">
        <v>38.491958659197216</v>
      </c>
    </row>
    <row r="26" spans="1:33" ht="22.2" customHeight="1" x14ac:dyDescent="0.4">
      <c r="A26" s="100" t="s">
        <v>55</v>
      </c>
      <c r="B26" s="44">
        <f>SUM(B27:B31)</f>
        <v>606992.69707019196</v>
      </c>
      <c r="C26" s="44">
        <f>SUM(C27:C31)</f>
        <v>31525.439664267862</v>
      </c>
      <c r="D26" s="44">
        <f>SUM(D27:D31)</f>
        <v>40021.940602314593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678540.07733677432</v>
      </c>
      <c r="AD26" s="110"/>
      <c r="AE26" s="52">
        <f t="shared" si="4"/>
        <v>678.54007733677429</v>
      </c>
      <c r="AF26" s="128"/>
      <c r="AG26" s="44">
        <v>409.16103098570943</v>
      </c>
    </row>
    <row r="27" spans="1:33" ht="22.2" customHeight="1" x14ac:dyDescent="0.4">
      <c r="A27" s="99" t="s">
        <v>56</v>
      </c>
      <c r="B27" s="44">
        <v>0</v>
      </c>
      <c r="C27" s="44">
        <v>30991.991587693832</v>
      </c>
      <c r="D27" s="44">
        <v>39108.941765423173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70100.933353116998</v>
      </c>
      <c r="AD27" s="110"/>
      <c r="AE27" s="52">
        <f t="shared" si="4"/>
        <v>70.100933353117</v>
      </c>
      <c r="AF27" s="128"/>
      <c r="AG27" s="44">
        <v>402.52693835921394</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522716.98051806085</v>
      </c>
      <c r="C29" s="44">
        <v>444.2766988380676</v>
      </c>
      <c r="D29" s="44">
        <v>744.21015760548983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523905.46737450437</v>
      </c>
      <c r="AD29" s="110"/>
      <c r="AE29" s="52">
        <f t="shared" si="4"/>
        <v>523.90546737450438</v>
      </c>
      <c r="AF29" s="128"/>
      <c r="AG29" s="44">
        <v>2.070210424226901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84275.716552131154</v>
      </c>
      <c r="C31" s="44">
        <v>89.171377735962707</v>
      </c>
      <c r="D31" s="44">
        <v>168.78867928592936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84533.676609153059</v>
      </c>
      <c r="AD31" s="110"/>
      <c r="AE31" s="52">
        <f t="shared" si="4"/>
        <v>84.533676609153062</v>
      </c>
      <c r="AF31" s="128"/>
      <c r="AG31" s="44">
        <v>4.5638822022686147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450853.05102440488</v>
      </c>
      <c r="C33" s="44">
        <v>267.55758163569971</v>
      </c>
      <c r="D33" s="44">
        <v>337.31223531279892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451457.92084135342</v>
      </c>
      <c r="AD33" s="110"/>
      <c r="AE33" s="52">
        <f t="shared" si="4"/>
        <v>451.45792084135343</v>
      </c>
      <c r="AF33" s="128"/>
      <c r="AG33" s="44">
        <v>1.3542006662254882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6607885.3840691848</v>
      </c>
      <c r="C35" s="44">
        <v>7600.14325576991</v>
      </c>
      <c r="D35" s="44">
        <v>12434.415067915932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6627919.9423928708</v>
      </c>
      <c r="AD35" s="110"/>
      <c r="AE35" s="52">
        <f t="shared" si="4"/>
        <v>6627.9199423928712</v>
      </c>
      <c r="AF35" s="128"/>
      <c r="AG35" s="44">
        <v>38.274906258634601</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351482.33346424875</v>
      </c>
      <c r="C37" s="44">
        <v>405.27390459973032</v>
      </c>
      <c r="D37" s="44">
        <v>767.12560513520373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352654.73297398369</v>
      </c>
      <c r="AD37" s="110"/>
      <c r="AE37" s="52">
        <f t="shared" si="4"/>
        <v>352.6547329739837</v>
      </c>
      <c r="AF37" s="128"/>
      <c r="AG37" s="44">
        <v>1.5574854700761187</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46258357.29550337</v>
      </c>
      <c r="C39" s="44">
        <f>SUM(C40:C42)</f>
        <v>71080.381865319214</v>
      </c>
      <c r="D39" s="44">
        <f>SUM(D40:D42)</f>
        <v>96263.527283056537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46425701.204651751</v>
      </c>
      <c r="AD39" s="110"/>
      <c r="AE39" s="52">
        <f t="shared" si="4"/>
        <v>46425.701204651748</v>
      </c>
      <c r="AF39" s="128"/>
      <c r="AG39" s="44">
        <v>270.29450330921611</v>
      </c>
    </row>
    <row r="40" spans="1:33" ht="22.2" customHeight="1" x14ac:dyDescent="0.4">
      <c r="A40" s="99" t="s">
        <v>69</v>
      </c>
      <c r="B40" s="44">
        <v>2704951.7895977767</v>
      </c>
      <c r="C40" s="44">
        <v>1340.5538542375568</v>
      </c>
      <c r="D40" s="44">
        <v>1319.9520873782326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2707612.2955393926</v>
      </c>
      <c r="AD40" s="110"/>
      <c r="AE40" s="52">
        <f t="shared" si="4"/>
        <v>2707.6122955393926</v>
      </c>
      <c r="AF40" s="128"/>
      <c r="AG40" s="44">
        <v>9.464613120929215</v>
      </c>
    </row>
    <row r="41" spans="1:33" ht="22.2" customHeight="1" x14ac:dyDescent="0.4">
      <c r="A41" s="99" t="s">
        <v>70</v>
      </c>
      <c r="B41" s="44">
        <v>523970.03724991874</v>
      </c>
      <c r="C41" s="44">
        <v>390.26767364691432</v>
      </c>
      <c r="D41" s="44">
        <v>596.03644222348635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524956.34136578906</v>
      </c>
      <c r="AD41" s="110"/>
      <c r="AE41" s="52">
        <f t="shared" si="4"/>
        <v>524.95634136578906</v>
      </c>
      <c r="AF41" s="128"/>
      <c r="AG41" s="44">
        <v>4.9017635239834698</v>
      </c>
    </row>
    <row r="42" spans="1:33" ht="22.2" customHeight="1" x14ac:dyDescent="0.4">
      <c r="A42" s="99" t="s">
        <v>71</v>
      </c>
      <c r="B42" s="44">
        <v>43029435.468655676</v>
      </c>
      <c r="C42" s="44">
        <v>69349.560337434741</v>
      </c>
      <c r="D42" s="44">
        <v>94347.538753454821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43193132.567746565</v>
      </c>
      <c r="AD42" s="110"/>
      <c r="AE42" s="52">
        <f t="shared" si="4"/>
        <v>43193.132567746565</v>
      </c>
      <c r="AF42" s="128"/>
      <c r="AG42" s="44">
        <v>255.92812666430342</v>
      </c>
    </row>
    <row r="43" spans="1:33" ht="22.2" customHeight="1" x14ac:dyDescent="0.4">
      <c r="A43" s="20" t="s">
        <v>72</v>
      </c>
      <c r="B43" s="37">
        <f>SUM(B44:B48)</f>
        <v>172303356.28800002</v>
      </c>
      <c r="C43" s="37">
        <f>SUM(C44:C48)</f>
        <v>470314.99170000001</v>
      </c>
      <c r="D43" s="37">
        <f>SUM(D44:D48)</f>
        <v>1995428.9839999999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174769100.26370001</v>
      </c>
      <c r="AD43" s="41"/>
      <c r="AE43" s="37">
        <f t="shared" si="4"/>
        <v>174769.10026370001</v>
      </c>
      <c r="AF43" s="128"/>
      <c r="AG43" s="37">
        <f>SUM(AG44:AG48)</f>
        <v>13401.151158699999</v>
      </c>
    </row>
    <row r="44" spans="1:33" ht="22.2" customHeight="1" x14ac:dyDescent="0.4">
      <c r="A44" s="100" t="s">
        <v>73</v>
      </c>
      <c r="B44" s="44">
        <v>7237238.1129999999</v>
      </c>
      <c r="C44" s="44">
        <v>1395.3412000000001</v>
      </c>
      <c r="D44" s="44">
        <v>52823.631000000001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7291457.0851999996</v>
      </c>
      <c r="AD44" s="41"/>
      <c r="AE44" s="52">
        <f t="shared" si="4"/>
        <v>7291.4570851999997</v>
      </c>
      <c r="AF44" s="128"/>
      <c r="AG44" s="44">
        <v>102.3840587</v>
      </c>
    </row>
    <row r="45" spans="1:33" ht="22.2" customHeight="1" x14ac:dyDescent="0.4">
      <c r="A45" s="100" t="s">
        <v>74</v>
      </c>
      <c r="B45" s="44">
        <v>160704356.90000001</v>
      </c>
      <c r="C45" s="44">
        <v>459550.77879999997</v>
      </c>
      <c r="D45" s="44">
        <v>1705814.8022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162869722.48100001</v>
      </c>
      <c r="AD45" s="41"/>
      <c r="AE45" s="52">
        <f t="shared" si="4"/>
        <v>162869.722481</v>
      </c>
      <c r="AF45" s="128"/>
      <c r="AG45" s="44">
        <v>13142.9</v>
      </c>
    </row>
    <row r="46" spans="1:33" ht="22.2" customHeight="1" x14ac:dyDescent="0.4">
      <c r="A46" s="100" t="s">
        <v>75</v>
      </c>
      <c r="B46" s="44">
        <v>2120469.83</v>
      </c>
      <c r="C46" s="44">
        <v>3382.24</v>
      </c>
      <c r="D46" s="44">
        <v>220602.21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2344454.2800000003</v>
      </c>
      <c r="AD46" s="41"/>
      <c r="AE46" s="52">
        <f t="shared" si="4"/>
        <v>2344.4542800000004</v>
      </c>
      <c r="AF46" s="128"/>
      <c r="AG46" s="44">
        <v>50</v>
      </c>
    </row>
    <row r="47" spans="1:33" ht="22.2" customHeight="1" x14ac:dyDescent="0.4">
      <c r="A47" s="100" t="s">
        <v>76</v>
      </c>
      <c r="B47" s="44">
        <v>2241291.4449999998</v>
      </c>
      <c r="C47" s="44">
        <v>5986.6316999999999</v>
      </c>
      <c r="D47" s="44">
        <v>16188.3408</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2263466.4174999995</v>
      </c>
      <c r="AD47" s="41"/>
      <c r="AE47" s="52">
        <f t="shared" si="4"/>
        <v>2263.4664174999994</v>
      </c>
      <c r="AF47" s="128"/>
      <c r="AG47" s="44">
        <v>105.86709999999999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32999919.269999996</v>
      </c>
      <c r="C49" s="37">
        <f>SUM(C50:C52)</f>
        <v>361904.22</v>
      </c>
      <c r="D49" s="37">
        <f>SUM(D50:D52)</f>
        <v>376136.33999999997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33737959.829999998</v>
      </c>
      <c r="AD49" s="41"/>
      <c r="AE49" s="37">
        <f t="shared" si="4"/>
        <v>33737.95983</v>
      </c>
      <c r="AF49" s="128"/>
      <c r="AG49" s="37">
        <f>SUM(AG50:AG52)</f>
        <v>37443.160000000003</v>
      </c>
    </row>
    <row r="50" spans="1:33" ht="22.2" customHeight="1" x14ac:dyDescent="0.4">
      <c r="A50" s="100" t="s">
        <v>79</v>
      </c>
      <c r="B50" s="44">
        <v>4846317.5199999996</v>
      </c>
      <c r="C50" s="44">
        <v>10908.18</v>
      </c>
      <c r="D50" s="44">
        <v>2292.17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4859517.8699999992</v>
      </c>
      <c r="AD50" s="41"/>
      <c r="AE50" s="52">
        <f t="shared" si="4"/>
        <v>4859.5178699999988</v>
      </c>
      <c r="AF50" s="128"/>
      <c r="AG50" s="44">
        <v>2246.48</v>
      </c>
    </row>
    <row r="51" spans="1:33" ht="22.2" customHeight="1" x14ac:dyDescent="0.4">
      <c r="A51" s="100" t="s">
        <v>80</v>
      </c>
      <c r="B51" s="44">
        <v>17995760.469999999</v>
      </c>
      <c r="C51" s="44">
        <v>312500.84999999998</v>
      </c>
      <c r="D51" s="44">
        <v>352247.25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18660508.57</v>
      </c>
      <c r="AD51" s="41"/>
      <c r="AE51" s="52">
        <f t="shared" si="4"/>
        <v>18660.508570000002</v>
      </c>
      <c r="AF51" s="128"/>
      <c r="AG51" s="44">
        <v>34941.61</v>
      </c>
    </row>
    <row r="52" spans="1:33" ht="22.2" customHeight="1" x14ac:dyDescent="0.4">
      <c r="A52" s="100" t="s">
        <v>81</v>
      </c>
      <c r="B52" s="44">
        <v>10157841.279999999</v>
      </c>
      <c r="C52" s="44">
        <v>38495.19</v>
      </c>
      <c r="D52" s="44">
        <v>21596.92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10217933.389999999</v>
      </c>
      <c r="AD52" s="41"/>
      <c r="AE52" s="52">
        <f t="shared" si="4"/>
        <v>10217.933389999998</v>
      </c>
      <c r="AF52" s="128"/>
      <c r="AG52" s="44">
        <v>255.07</v>
      </c>
    </row>
    <row r="53" spans="1:33" ht="22.2" customHeight="1" x14ac:dyDescent="0.4">
      <c r="A53" s="13" t="s">
        <v>82</v>
      </c>
      <c r="B53" s="37">
        <f>B54+B59</f>
        <v>11002755.050000001</v>
      </c>
      <c r="C53" s="37">
        <f>C54+C59</f>
        <v>16774352.189999999</v>
      </c>
      <c r="D53" s="37">
        <f>D54+D59</f>
        <v>24183.8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27801291.039999999</v>
      </c>
      <c r="AD53" s="41"/>
      <c r="AE53" s="37">
        <f t="shared" si="4"/>
        <v>27801.29104</v>
      </c>
      <c r="AF53" s="128"/>
      <c r="AG53" s="37">
        <f>AG54+AG59</f>
        <v>5238.2002404688101</v>
      </c>
    </row>
    <row r="54" spans="1:33" ht="22.2" customHeight="1" x14ac:dyDescent="0.4">
      <c r="A54" s="20" t="s">
        <v>83</v>
      </c>
      <c r="B54" s="37">
        <f>B55+B58</f>
        <v>81297.89</v>
      </c>
      <c r="C54" s="37">
        <f>C55+C58</f>
        <v>2859486.85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2940784.74</v>
      </c>
      <c r="AD54" s="41"/>
      <c r="AE54" s="37">
        <f t="shared" si="4"/>
        <v>2940.7847400000001</v>
      </c>
      <c r="AF54" s="128"/>
      <c r="AG54" s="76"/>
    </row>
    <row r="55" spans="1:33" ht="22.2" customHeight="1" x14ac:dyDescent="0.4">
      <c r="A55" s="101" t="s">
        <v>84</v>
      </c>
      <c r="B55" s="52">
        <f>B56+B57</f>
        <v>81297.89</v>
      </c>
      <c r="C55" s="52">
        <f>C56+C57</f>
        <v>2859486.85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2940784.74</v>
      </c>
      <c r="AD55" s="41"/>
      <c r="AE55" s="44">
        <f t="shared" si="4"/>
        <v>2940.7847400000001</v>
      </c>
      <c r="AF55" s="128"/>
      <c r="AG55" s="73"/>
    </row>
    <row r="56" spans="1:33" ht="22.2" customHeight="1" x14ac:dyDescent="0.4">
      <c r="A56" s="100" t="s">
        <v>85</v>
      </c>
      <c r="B56" s="44">
        <v>77424.42</v>
      </c>
      <c r="C56" s="44">
        <v>2742804.35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2820228.77</v>
      </c>
      <c r="AD56" s="41"/>
      <c r="AE56" s="52">
        <f t="shared" si="4"/>
        <v>2820.2287700000002</v>
      </c>
      <c r="AF56" s="128"/>
      <c r="AG56" s="73"/>
    </row>
    <row r="57" spans="1:33" ht="22.2" customHeight="1" x14ac:dyDescent="0.4">
      <c r="A57" s="100" t="s">
        <v>86</v>
      </c>
      <c r="B57" s="44">
        <v>3873.47</v>
      </c>
      <c r="C57" s="44">
        <v>116682.5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120555.97</v>
      </c>
      <c r="AD57" s="41"/>
      <c r="AE57" s="52">
        <f t="shared" si="4"/>
        <v>120.55597</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10921457.16</v>
      </c>
      <c r="C59" s="37">
        <f t="shared" ref="C59:D59" si="8">C60+C64</f>
        <v>13914865.34</v>
      </c>
      <c r="D59" s="37">
        <f t="shared" si="8"/>
        <v>24183.8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24860506.300000001</v>
      </c>
      <c r="AD59" s="41"/>
      <c r="AE59" s="37">
        <f t="shared" si="4"/>
        <v>24860.506300000001</v>
      </c>
      <c r="AF59" s="128"/>
      <c r="AG59" s="53">
        <f>SUM(AG60:AG66)</f>
        <v>5238.2002404688101</v>
      </c>
    </row>
    <row r="60" spans="1:33" ht="22.2" customHeight="1" x14ac:dyDescent="0.4">
      <c r="A60" s="100" t="s">
        <v>89</v>
      </c>
      <c r="B60" s="49">
        <f>SUM(B61,B62,B63)</f>
        <v>8591047.0899999999</v>
      </c>
      <c r="C60" s="49">
        <f t="shared" ref="C60:D60" si="9">SUM(C61,C62,C63)</f>
        <v>7863279.1700000009</v>
      </c>
      <c r="D60" s="49">
        <f t="shared" si="9"/>
        <v>24135.62</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16478461.880000001</v>
      </c>
      <c r="AD60" s="41"/>
      <c r="AE60" s="52">
        <f t="shared" si="4"/>
        <v>16478.461880000003</v>
      </c>
      <c r="AF60" s="128"/>
      <c r="AG60" s="111"/>
    </row>
    <row r="61" spans="1:33" ht="22.2" customHeight="1" x14ac:dyDescent="0.4">
      <c r="A61" s="102" t="s">
        <v>90</v>
      </c>
      <c r="B61" s="44">
        <v>3750407.59</v>
      </c>
      <c r="C61" s="44">
        <v>4184013.72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7934421.3100000005</v>
      </c>
      <c r="AD61" s="41"/>
      <c r="AE61" s="52">
        <f t="shared" si="4"/>
        <v>7934.4213100000006</v>
      </c>
      <c r="AF61" s="128"/>
      <c r="AG61" s="109"/>
    </row>
    <row r="62" spans="1:33" ht="22.2" customHeight="1" x14ac:dyDescent="0.4">
      <c r="A62" s="102" t="s">
        <v>91</v>
      </c>
      <c r="B62" s="44">
        <v>4807596.96</v>
      </c>
      <c r="C62" s="44">
        <v>3555243.66</v>
      </c>
      <c r="D62" s="44">
        <v>24135.62</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8386976.2400000002</v>
      </c>
      <c r="AD62" s="41"/>
      <c r="AE62" s="52">
        <f t="shared" si="4"/>
        <v>8386.97624</v>
      </c>
      <c r="AF62" s="128"/>
      <c r="AG62" s="44">
        <v>5238.2002404688101</v>
      </c>
    </row>
    <row r="63" spans="1:33" ht="22.2" customHeight="1" x14ac:dyDescent="0.4">
      <c r="A63" s="102" t="s">
        <v>92</v>
      </c>
      <c r="B63" s="44">
        <v>33042.54</v>
      </c>
      <c r="C63" s="44">
        <v>124021.79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157064.32999999999</v>
      </c>
      <c r="AD63" s="41"/>
      <c r="AE63" s="52">
        <f t="shared" si="4"/>
        <v>157.06432999999998</v>
      </c>
      <c r="AF63" s="128"/>
      <c r="AG63" s="109"/>
    </row>
    <row r="64" spans="1:33" ht="22.2" customHeight="1" x14ac:dyDescent="0.4">
      <c r="A64" s="103" t="s">
        <v>93</v>
      </c>
      <c r="B64" s="49">
        <f>SUM(B65,B66,B67)</f>
        <v>2330410.0700000003</v>
      </c>
      <c r="C64" s="49">
        <f t="shared" ref="C64:D64" si="11">SUM(C65,C66,C67)</f>
        <v>6051586.1699999999</v>
      </c>
      <c r="D64" s="49">
        <f t="shared" si="11"/>
        <v>48.18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8382044.4199999999</v>
      </c>
      <c r="AD64" s="41"/>
      <c r="AE64" s="52">
        <f t="shared" si="4"/>
        <v>8382.0444200000002</v>
      </c>
      <c r="AF64" s="128"/>
      <c r="AG64" s="109"/>
    </row>
    <row r="65" spans="1:33" ht="22.2" customHeight="1" x14ac:dyDescent="0.4">
      <c r="A65" s="102" t="s">
        <v>94</v>
      </c>
      <c r="B65" s="44">
        <v>1751043.52</v>
      </c>
      <c r="C65" s="44">
        <v>2770396.59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4521440.1099999994</v>
      </c>
      <c r="AD65" s="41"/>
      <c r="AE65" s="52">
        <f t="shared" si="4"/>
        <v>4521.4401099999995</v>
      </c>
      <c r="AF65" s="128"/>
      <c r="AG65" s="112"/>
    </row>
    <row r="66" spans="1:33" ht="22.2" customHeight="1" x14ac:dyDescent="0.4">
      <c r="A66" s="102" t="s">
        <v>95</v>
      </c>
      <c r="B66" s="44">
        <v>576082.07999999996</v>
      </c>
      <c r="C66" s="44">
        <v>412493.95</v>
      </c>
      <c r="D66" s="44">
        <v>48.18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988624.21000000008</v>
      </c>
      <c r="AD66" s="41"/>
      <c r="AE66" s="52">
        <f t="shared" si="4"/>
        <v>988.62421000000006</v>
      </c>
      <c r="AF66" s="128"/>
      <c r="AG66" s="112"/>
    </row>
    <row r="67" spans="1:33" ht="22.2" customHeight="1" thickBot="1" x14ac:dyDescent="0.45">
      <c r="A67" s="102" t="s">
        <v>96</v>
      </c>
      <c r="B67" s="44">
        <v>3284.47</v>
      </c>
      <c r="C67" s="44">
        <v>2868695.63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2871980.1</v>
      </c>
      <c r="AD67" s="41"/>
      <c r="AE67" s="116">
        <f t="shared" si="4"/>
        <v>2871.9801000000002</v>
      </c>
      <c r="AF67" s="128"/>
      <c r="AG67" s="112"/>
    </row>
    <row r="68" spans="1:33" ht="22.2" customHeight="1" x14ac:dyDescent="0.4">
      <c r="A68" s="12" t="s">
        <v>97</v>
      </c>
      <c r="B68" s="33">
        <f>B69+B75+B86+B94+B99+B105+B112+B117</f>
        <v>50511109.967262223</v>
      </c>
      <c r="C68" s="33">
        <f t="shared" ref="C68:AC68" si="12">C69+C75+C86+C94+C99+C105+C112+C117</f>
        <v>274190.0548939869</v>
      </c>
      <c r="D68" s="33">
        <f t="shared" si="12"/>
        <v>719749.38251321868</v>
      </c>
      <c r="E68" s="34">
        <f t="shared" si="12"/>
        <v>485.08800000000008</v>
      </c>
      <c r="F68" s="34">
        <f t="shared" si="12"/>
        <v>1069892.7390000001</v>
      </c>
      <c r="G68" s="34">
        <f t="shared" si="12"/>
        <v>22486.472000000002</v>
      </c>
      <c r="H68" s="34">
        <f t="shared" si="12"/>
        <v>28702.977999999999</v>
      </c>
      <c r="I68" s="34">
        <f t="shared" si="12"/>
        <v>284.34699999999998</v>
      </c>
      <c r="J68" s="34">
        <f t="shared" si="12"/>
        <v>6632266.4679999994</v>
      </c>
      <c r="K68" s="34">
        <f t="shared" si="12"/>
        <v>7557352.0480000004</v>
      </c>
      <c r="L68" s="34">
        <f t="shared" si="12"/>
        <v>213764.00700000001</v>
      </c>
      <c r="M68" s="34">
        <f t="shared" si="12"/>
        <v>472544.16600000003</v>
      </c>
      <c r="N68" s="34">
        <f t="shared" si="12"/>
        <v>503262.533</v>
      </c>
      <c r="O68" s="34">
        <f t="shared" si="12"/>
        <v>32596.57</v>
      </c>
      <c r="P68" s="34">
        <f t="shared" si="12"/>
        <v>67187.519</v>
      </c>
      <c r="Q68" s="34">
        <f t="shared" si="12"/>
        <v>41442.173000000003</v>
      </c>
      <c r="R68" s="34">
        <f t="shared" si="12"/>
        <v>467.00400000000002</v>
      </c>
      <c r="S68" s="34">
        <f t="shared" si="12"/>
        <v>1391374.42</v>
      </c>
      <c r="T68" s="34">
        <f t="shared" si="12"/>
        <v>1.5890544000000002</v>
      </c>
      <c r="U68" s="34">
        <f t="shared" si="12"/>
        <v>22527.36217450089</v>
      </c>
      <c r="V68" s="34">
        <f t="shared" si="12"/>
        <v>2422.4505496999818</v>
      </c>
      <c r="W68" s="34">
        <f t="shared" si="12"/>
        <v>208.90080000000003</v>
      </c>
      <c r="X68" s="34">
        <f t="shared" si="12"/>
        <v>2.3472000000000007E-3</v>
      </c>
      <c r="Y68" s="34">
        <f t="shared" si="12"/>
        <v>74.748959795772208</v>
      </c>
      <c r="Z68" s="34">
        <f t="shared" si="12"/>
        <v>1.5648000000000001E-3</v>
      </c>
      <c r="AA68" s="34">
        <f t="shared" si="12"/>
        <v>2124.6163101041129</v>
      </c>
      <c r="AB68" s="120">
        <f t="shared" si="12"/>
        <v>257088.54414367705</v>
      </c>
      <c r="AC68" s="57">
        <f t="shared" si="12"/>
        <v>69823606.1525736</v>
      </c>
      <c r="AD68" s="93"/>
      <c r="AE68" s="57">
        <f t="shared" si="4"/>
        <v>69823.6061525736</v>
      </c>
      <c r="AF68" s="128"/>
      <c r="AG68" s="57"/>
    </row>
    <row r="69" spans="1:33" ht="22.2" customHeight="1" x14ac:dyDescent="0.4">
      <c r="A69" s="20" t="s">
        <v>98</v>
      </c>
      <c r="B69" s="53">
        <f>SUM(B70:B74)</f>
        <v>28671214.045396134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28671214.045396134</v>
      </c>
      <c r="AD69" s="41"/>
      <c r="AE69" s="37">
        <f t="shared" si="4"/>
        <v>28671.214045396133</v>
      </c>
      <c r="AF69" s="128"/>
      <c r="AG69" s="76"/>
    </row>
    <row r="70" spans="1:33" ht="22.2" customHeight="1" x14ac:dyDescent="0.4">
      <c r="A70" s="100" t="s">
        <v>99</v>
      </c>
      <c r="B70" s="44">
        <v>19662370.614576001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19662370.614576001</v>
      </c>
      <c r="AD70" s="41"/>
      <c r="AE70" s="52">
        <f t="shared" si="4"/>
        <v>19662.370614576001</v>
      </c>
      <c r="AF70" s="128"/>
      <c r="AG70" s="111"/>
    </row>
    <row r="71" spans="1:33" ht="22.2" customHeight="1" x14ac:dyDescent="0.4">
      <c r="A71" s="100" t="s">
        <v>100</v>
      </c>
      <c r="B71" s="44">
        <v>3832386.7452406641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3832386.7452406641</v>
      </c>
      <c r="AD71" s="41"/>
      <c r="AE71" s="52">
        <f t="shared" si="4"/>
        <v>3832.3867452406639</v>
      </c>
      <c r="AF71" s="128"/>
      <c r="AG71" s="111"/>
    </row>
    <row r="72" spans="1:33" ht="22.2" customHeight="1" x14ac:dyDescent="0.4">
      <c r="A72" s="100" t="s">
        <v>101</v>
      </c>
      <c r="B72" s="44">
        <v>682073.16585610644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682073.16585610644</v>
      </c>
      <c r="AD72" s="41"/>
      <c r="AE72" s="52">
        <f t="shared" si="4"/>
        <v>682.07316585610647</v>
      </c>
      <c r="AF72" s="128"/>
      <c r="AG72" s="111"/>
    </row>
    <row r="73" spans="1:33" ht="22.2" customHeight="1" x14ac:dyDescent="0.4">
      <c r="A73" s="100" t="s">
        <v>102</v>
      </c>
      <c r="B73" s="44">
        <v>4494383.5197233623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4494383.5197233623</v>
      </c>
      <c r="AD73" s="41"/>
      <c r="AE73" s="52">
        <f t="shared" ref="AE73:AE136" si="13">AC73/1000</f>
        <v>4494.383519723362</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3120246.7498551547</v>
      </c>
      <c r="C75" s="37">
        <f>SUM(C76:C85)</f>
        <v>272081.09489398688</v>
      </c>
      <c r="D75" s="37">
        <f>SUM(D76:D85)</f>
        <v>719488.79324999999</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4111816.6379991416</v>
      </c>
      <c r="AD75" s="41"/>
      <c r="AE75" s="37">
        <f t="shared" si="13"/>
        <v>4111.8166379991417</v>
      </c>
      <c r="AF75" s="128"/>
      <c r="AG75" s="76"/>
    </row>
    <row r="76" spans="1:33" ht="22.2" customHeight="1" x14ac:dyDescent="0.4">
      <c r="A76" s="100" t="s">
        <v>105</v>
      </c>
      <c r="B76" s="117">
        <v>598888.04685846053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598888.04685846053</v>
      </c>
      <c r="AD76" s="41"/>
      <c r="AE76" s="52">
        <f t="shared" si="13"/>
        <v>598.88804685846048</v>
      </c>
      <c r="AF76" s="128"/>
      <c r="AG76" s="111"/>
    </row>
    <row r="77" spans="1:33" ht="22.2" customHeight="1" x14ac:dyDescent="0.4">
      <c r="A77" s="100" t="s">
        <v>106</v>
      </c>
      <c r="B77" s="59"/>
      <c r="C77" s="58"/>
      <c r="D77" s="44">
        <v>551105.40824999998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551105.40824999998</v>
      </c>
      <c r="AD77" s="41"/>
      <c r="AE77" s="52">
        <f t="shared" si="13"/>
        <v>551.10540824999998</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168383.38500000001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168383.38500000001</v>
      </c>
      <c r="AD79" s="41"/>
      <c r="AE79" s="52">
        <f t="shared" si="13"/>
        <v>168.383385</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143552.25</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143552.25</v>
      </c>
      <c r="AD82" s="41"/>
      <c r="AE82" s="52">
        <f t="shared" si="13"/>
        <v>143.55224999999999</v>
      </c>
      <c r="AF82" s="128"/>
      <c r="AG82" s="111"/>
    </row>
    <row r="83" spans="1:33" ht="22.2" customHeight="1" x14ac:dyDescent="0.4">
      <c r="A83" s="100" t="s">
        <v>112</v>
      </c>
      <c r="B83" s="44">
        <v>1990837.232996694</v>
      </c>
      <c r="C83" s="44">
        <v>272081.09489398688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2262918.3278906811</v>
      </c>
      <c r="AD83" s="41"/>
      <c r="AE83" s="52">
        <f t="shared" si="13"/>
        <v>2262.9183278906812</v>
      </c>
      <c r="AF83" s="128"/>
      <c r="AG83" s="111"/>
    </row>
    <row r="84" spans="1:33" ht="22.2" customHeight="1" x14ac:dyDescent="0.4">
      <c r="A84" s="100" t="s">
        <v>113</v>
      </c>
      <c r="B84" s="59"/>
      <c r="C84" s="58"/>
      <c r="D84" s="58"/>
      <c r="E84" s="160">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18606417.859999999</v>
      </c>
      <c r="C86" s="37">
        <f>SUM(C87:C93)</f>
        <v>2108.96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18608526.82</v>
      </c>
      <c r="AD86" s="41"/>
      <c r="AE86" s="37">
        <f>AC86/1000</f>
        <v>18608.526819999999</v>
      </c>
      <c r="AF86" s="128"/>
      <c r="AG86" s="76"/>
    </row>
    <row r="87" spans="1:33" ht="22.2" customHeight="1" x14ac:dyDescent="0.4">
      <c r="A87" s="100" t="s">
        <v>116</v>
      </c>
      <c r="B87" s="44">
        <v>18184270</v>
      </c>
      <c r="C87" s="44">
        <v>2108.96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18186378.960000001</v>
      </c>
      <c r="AD87" s="41"/>
      <c r="AE87" s="52">
        <f t="shared" si="13"/>
        <v>18186.378960000002</v>
      </c>
      <c r="AF87" s="128"/>
      <c r="AG87" s="111"/>
    </row>
    <row r="88" spans="1:33" ht="22.2" customHeight="1" x14ac:dyDescent="0.4">
      <c r="A88" s="100" t="s">
        <v>117</v>
      </c>
      <c r="B88" s="44">
        <v>324412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324412</v>
      </c>
      <c r="AD88" s="41"/>
      <c r="AE88" s="52">
        <f t="shared" si="13"/>
        <v>324.41199999999998</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0"/>
      <c r="V89" s="160"/>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97735.86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97735.86</v>
      </c>
      <c r="AD91" s="41"/>
      <c r="AE91" s="52">
        <f t="shared" si="13"/>
        <v>97.735860000000002</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78438.827010940004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78438.827010940004</v>
      </c>
      <c r="AD94" s="41"/>
      <c r="AE94" s="37">
        <f t="shared" si="13"/>
        <v>78.438827010940003</v>
      </c>
      <c r="AF94" s="128"/>
      <c r="AG94" s="78"/>
    </row>
    <row r="95" spans="1:33" ht="22.2" customHeight="1" x14ac:dyDescent="0.4">
      <c r="A95" s="100" t="s">
        <v>124</v>
      </c>
      <c r="B95" s="44">
        <v>65534.186501519995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65534.186501519995</v>
      </c>
      <c r="AD95" s="41"/>
      <c r="AE95" s="52">
        <f t="shared" si="13"/>
        <v>65.534186501519997</v>
      </c>
      <c r="AF95" s="128"/>
      <c r="AG95" s="111"/>
    </row>
    <row r="96" spans="1:33" ht="22.2" customHeight="1" x14ac:dyDescent="0.4">
      <c r="A96" s="100" t="s">
        <v>125</v>
      </c>
      <c r="B96" s="44">
        <v>12904.640509420002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12904.640509420002</v>
      </c>
      <c r="AD96" s="41"/>
      <c r="AE96" s="52">
        <f t="shared" si="13"/>
        <v>12.904640509420002</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260.58926321872423</v>
      </c>
      <c r="E99" s="66">
        <f>SUM(E100:E102)</f>
        <v>485.08800000000008</v>
      </c>
      <c r="F99" s="47"/>
      <c r="G99" s="47"/>
      <c r="H99" s="47"/>
      <c r="I99" s="47"/>
      <c r="J99" s="47"/>
      <c r="K99" s="47"/>
      <c r="L99" s="47"/>
      <c r="M99" s="47"/>
      <c r="N99" s="47"/>
      <c r="O99" s="47"/>
      <c r="P99" s="47"/>
      <c r="Q99" s="47"/>
      <c r="R99" s="47"/>
      <c r="S99" s="47"/>
      <c r="T99" s="66">
        <f>SUM(T100:T102)</f>
        <v>1.5890544000000002</v>
      </c>
      <c r="U99" s="66">
        <f t="shared" ref="U99:AB99" si="16">SUM(U100:U102)</f>
        <v>22527.36217450089</v>
      </c>
      <c r="V99" s="66">
        <f t="shared" si="16"/>
        <v>2422.4505496999818</v>
      </c>
      <c r="W99" s="66">
        <f t="shared" si="16"/>
        <v>208.90080000000003</v>
      </c>
      <c r="X99" s="66">
        <f t="shared" si="16"/>
        <v>2.3472000000000007E-3</v>
      </c>
      <c r="Y99" s="66">
        <f t="shared" si="16"/>
        <v>74.748959795772208</v>
      </c>
      <c r="Z99" s="66">
        <f t="shared" si="16"/>
        <v>1.5648000000000001E-3</v>
      </c>
      <c r="AA99" s="66">
        <f t="shared" si="16"/>
        <v>2124.6163101041129</v>
      </c>
      <c r="AB99" s="66">
        <f t="shared" si="16"/>
        <v>2020.7141436770726</v>
      </c>
      <c r="AC99" s="37">
        <f>SUM(AC100:AC104)</f>
        <v>30126.063167396551</v>
      </c>
      <c r="AD99" s="41"/>
      <c r="AE99" s="37">
        <f t="shared" si="13"/>
        <v>30.126063167396552</v>
      </c>
      <c r="AF99" s="128"/>
      <c r="AG99" s="63"/>
    </row>
    <row r="100" spans="1:33" ht="22.2" customHeight="1" x14ac:dyDescent="0.4">
      <c r="A100" s="100" t="s">
        <v>129</v>
      </c>
      <c r="B100" s="63"/>
      <c r="C100" s="63"/>
      <c r="D100" s="44">
        <v>209.40936000000002</v>
      </c>
      <c r="E100" s="160">
        <v>485.08800000000008</v>
      </c>
      <c r="F100" s="47"/>
      <c r="G100" s="47"/>
      <c r="H100" s="47"/>
      <c r="I100" s="47"/>
      <c r="J100" s="47"/>
      <c r="K100" s="47"/>
      <c r="L100" s="47"/>
      <c r="M100" s="47"/>
      <c r="N100" s="47"/>
      <c r="O100" s="47"/>
      <c r="P100" s="47"/>
      <c r="Q100" s="47"/>
      <c r="R100" s="47"/>
      <c r="S100" s="47"/>
      <c r="T100" s="160">
        <v>1.5890544000000002</v>
      </c>
      <c r="U100" s="160">
        <v>1867.4323199999999</v>
      </c>
      <c r="V100" s="160">
        <v>1042.1568000000002</v>
      </c>
      <c r="W100" s="160">
        <v>208.90080000000003</v>
      </c>
      <c r="X100" s="160">
        <v>2.3472000000000007E-3</v>
      </c>
      <c r="Y100" s="160">
        <v>74.640959999999993</v>
      </c>
      <c r="Z100" s="160">
        <v>1.5648000000000001E-3</v>
      </c>
      <c r="AA100" s="160">
        <v>1889.4960000000001</v>
      </c>
      <c r="AB100" s="160">
        <v>919.32000000000016</v>
      </c>
      <c r="AC100" s="52">
        <f>SUM(B100:AB100)</f>
        <v>6698.0372064000003</v>
      </c>
      <c r="AD100" s="41"/>
      <c r="AE100" s="52">
        <f t="shared" si="13"/>
        <v>6.6980372064000004</v>
      </c>
      <c r="AF100" s="128"/>
      <c r="AG100" s="111"/>
    </row>
    <row r="101" spans="1:33" ht="22.2" customHeight="1" x14ac:dyDescent="0.4">
      <c r="A101" s="100" t="s">
        <v>130</v>
      </c>
      <c r="B101" s="64"/>
      <c r="C101" s="63"/>
      <c r="D101" s="44">
        <v>51.179903218724192</v>
      </c>
      <c r="E101" s="45"/>
      <c r="F101" s="47"/>
      <c r="G101" s="47"/>
      <c r="H101" s="47"/>
      <c r="I101" s="47"/>
      <c r="J101" s="47"/>
      <c r="K101" s="47"/>
      <c r="L101" s="47"/>
      <c r="M101" s="47"/>
      <c r="N101" s="47"/>
      <c r="O101" s="47"/>
      <c r="P101" s="47"/>
      <c r="Q101" s="47"/>
      <c r="R101" s="47"/>
      <c r="S101" s="47"/>
      <c r="T101" s="47"/>
      <c r="U101" s="160">
        <v>48.786700197104977</v>
      </c>
      <c r="V101" s="47"/>
      <c r="W101" s="47"/>
      <c r="X101" s="47"/>
      <c r="Y101" s="160">
        <v>0.10799979577221988</v>
      </c>
      <c r="Z101" s="47"/>
      <c r="AA101" s="160">
        <v>235.1203101041126</v>
      </c>
      <c r="AB101" s="160">
        <v>1101.3941436770724</v>
      </c>
      <c r="AC101" s="52">
        <f>SUM(B101:AB101)</f>
        <v>1436.5890569927865</v>
      </c>
      <c r="AD101" s="41"/>
      <c r="AE101" s="52">
        <f t="shared" si="13"/>
        <v>1.4365890569927864</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0">
        <v>20611.143154303783</v>
      </c>
      <c r="V102" s="160">
        <v>1380.2937496999816</v>
      </c>
      <c r="W102" s="47"/>
      <c r="X102" s="47"/>
      <c r="Y102" s="47"/>
      <c r="Z102" s="47"/>
      <c r="AA102" s="47"/>
      <c r="AB102" s="75"/>
      <c r="AC102" s="52">
        <f>SUM(B102:AB102)</f>
        <v>21991.436904003764</v>
      </c>
      <c r="AD102" s="41"/>
      <c r="AE102" s="52">
        <f t="shared" si="13"/>
        <v>21.991436904003763</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1069892.7390000001</v>
      </c>
      <c r="G105" s="67">
        <f t="shared" ref="G105:S105" si="17">SUM(G106:G111)</f>
        <v>22486.472000000002</v>
      </c>
      <c r="H105" s="66">
        <f t="shared" si="17"/>
        <v>28702.977999999999</v>
      </c>
      <c r="I105" s="66">
        <f t="shared" si="17"/>
        <v>284.34699999999998</v>
      </c>
      <c r="J105" s="66">
        <f t="shared" si="17"/>
        <v>6632266.4679999994</v>
      </c>
      <c r="K105" s="66">
        <f t="shared" si="17"/>
        <v>7557352.0480000004</v>
      </c>
      <c r="L105" s="66">
        <f t="shared" si="17"/>
        <v>213764.00700000001</v>
      </c>
      <c r="M105" s="66">
        <f t="shared" si="17"/>
        <v>472544.16600000003</v>
      </c>
      <c r="N105" s="66">
        <f t="shared" si="17"/>
        <v>503262.533</v>
      </c>
      <c r="O105" s="66">
        <f t="shared" si="17"/>
        <v>32596.57</v>
      </c>
      <c r="P105" s="66">
        <f t="shared" si="17"/>
        <v>67187.519</v>
      </c>
      <c r="Q105" s="66">
        <f t="shared" si="17"/>
        <v>41442.173000000003</v>
      </c>
      <c r="R105" s="67">
        <f t="shared" si="17"/>
        <v>467.00400000000002</v>
      </c>
      <c r="S105" s="66">
        <f t="shared" si="17"/>
        <v>1391374.42</v>
      </c>
      <c r="T105" s="47"/>
      <c r="U105" s="47"/>
      <c r="V105" s="47"/>
      <c r="W105" s="47"/>
      <c r="X105" s="47"/>
      <c r="Y105" s="47"/>
      <c r="Z105" s="47"/>
      <c r="AA105" s="47"/>
      <c r="AB105" s="75"/>
      <c r="AC105" s="37">
        <f>SUM(AC106:AC111)</f>
        <v>18033623.443999998</v>
      </c>
      <c r="AD105" s="41"/>
      <c r="AE105" s="37">
        <f>AC105/1000</f>
        <v>18033.623443999997</v>
      </c>
      <c r="AF105" s="128"/>
      <c r="AG105" s="63"/>
    </row>
    <row r="106" spans="1:33" ht="22.2" customHeight="1" x14ac:dyDescent="0.4">
      <c r="A106" s="100" t="s">
        <v>135</v>
      </c>
      <c r="B106" s="63"/>
      <c r="C106" s="63"/>
      <c r="D106" s="63"/>
      <c r="E106" s="45"/>
      <c r="F106" s="160">
        <v>1069892.7390000001</v>
      </c>
      <c r="G106" s="47"/>
      <c r="H106" s="47"/>
      <c r="I106" s="47"/>
      <c r="J106" s="160">
        <v>6255303.8399999999</v>
      </c>
      <c r="K106" s="160">
        <v>7557352.0480000004</v>
      </c>
      <c r="L106" s="160">
        <v>213764.00700000001</v>
      </c>
      <c r="M106" s="105"/>
      <c r="N106" s="47"/>
      <c r="O106" s="47"/>
      <c r="P106" s="47"/>
      <c r="Q106" s="47"/>
      <c r="R106" s="47"/>
      <c r="S106" s="160">
        <v>1391374.42</v>
      </c>
      <c r="T106" s="47"/>
      <c r="U106" s="47"/>
      <c r="V106" s="47"/>
      <c r="W106" s="47"/>
      <c r="X106" s="47"/>
      <c r="Y106" s="47"/>
      <c r="Z106" s="47"/>
      <c r="AA106" s="47"/>
      <c r="AB106" s="75"/>
      <c r="AC106" s="52">
        <f>SUM(B106:AB106)</f>
        <v>16487687.054</v>
      </c>
      <c r="AD106" s="41"/>
      <c r="AE106" s="52">
        <f>AC106/1000</f>
        <v>16487.687053999998</v>
      </c>
      <c r="AF106" s="128"/>
      <c r="AG106" s="111"/>
    </row>
    <row r="107" spans="1:33" ht="22.2" customHeight="1" x14ac:dyDescent="0.4">
      <c r="A107" s="100" t="s">
        <v>136</v>
      </c>
      <c r="B107" s="63"/>
      <c r="C107" s="63"/>
      <c r="D107" s="63"/>
      <c r="E107" s="45"/>
      <c r="F107" s="47"/>
      <c r="G107" s="47"/>
      <c r="H107" s="47"/>
      <c r="I107" s="160">
        <v>284.34699999999998</v>
      </c>
      <c r="J107" s="160">
        <v>3503.0169999999998</v>
      </c>
      <c r="K107" s="47"/>
      <c r="L107" s="47"/>
      <c r="M107" s="160">
        <v>472544.16600000003</v>
      </c>
      <c r="N107" s="47"/>
      <c r="O107" s="47"/>
      <c r="P107" s="47"/>
      <c r="Q107" s="160">
        <v>41442.173000000003</v>
      </c>
      <c r="R107" s="47"/>
      <c r="S107" s="47"/>
      <c r="T107" s="47"/>
      <c r="U107" s="47"/>
      <c r="V107" s="47"/>
      <c r="W107" s="47"/>
      <c r="X107" s="47"/>
      <c r="Y107" s="47"/>
      <c r="Z107" s="47"/>
      <c r="AA107" s="47"/>
      <c r="AB107" s="75"/>
      <c r="AC107" s="52">
        <f>SUM(B107:AB107)</f>
        <v>517773.70300000004</v>
      </c>
      <c r="AD107" s="41"/>
      <c r="AE107" s="52">
        <f t="shared" si="13"/>
        <v>517.77370300000007</v>
      </c>
      <c r="AF107" s="128"/>
      <c r="AG107" s="111"/>
    </row>
    <row r="108" spans="1:33" ht="22.2" customHeight="1" x14ac:dyDescent="0.4">
      <c r="A108" s="100" t="s">
        <v>137</v>
      </c>
      <c r="B108" s="63"/>
      <c r="C108" s="63"/>
      <c r="D108" s="63"/>
      <c r="E108" s="45"/>
      <c r="F108" s="47"/>
      <c r="G108" s="47"/>
      <c r="H108" s="160">
        <v>28702.977999999999</v>
      </c>
      <c r="I108" s="47"/>
      <c r="J108" s="47"/>
      <c r="K108" s="47"/>
      <c r="L108" s="47"/>
      <c r="M108" s="47"/>
      <c r="N108" s="47"/>
      <c r="O108" s="160">
        <v>32596.57</v>
      </c>
      <c r="P108" s="160">
        <v>67187.519</v>
      </c>
      <c r="Q108" s="47"/>
      <c r="R108" s="160">
        <v>467.00400000000002</v>
      </c>
      <c r="S108" s="47"/>
      <c r="T108" s="47"/>
      <c r="U108" s="47"/>
      <c r="V108" s="47"/>
      <c r="W108" s="47"/>
      <c r="X108" s="47"/>
      <c r="Y108" s="47"/>
      <c r="Z108" s="47"/>
      <c r="AA108" s="47"/>
      <c r="AB108" s="75"/>
      <c r="AC108" s="52">
        <f>SUM(B108:AB108)</f>
        <v>128954.071</v>
      </c>
      <c r="AD108" s="41"/>
      <c r="AE108" s="52">
        <f t="shared" si="13"/>
        <v>128.954071</v>
      </c>
      <c r="AF108" s="128"/>
      <c r="AG108" s="111"/>
    </row>
    <row r="109" spans="1:33" ht="22.2" customHeight="1" x14ac:dyDescent="0.4">
      <c r="A109" s="100" t="s">
        <v>138</v>
      </c>
      <c r="B109" s="63"/>
      <c r="C109" s="63"/>
      <c r="D109" s="63"/>
      <c r="E109" s="45"/>
      <c r="F109" s="47"/>
      <c r="G109" s="47"/>
      <c r="H109" s="47"/>
      <c r="I109" s="47"/>
      <c r="J109" s="160">
        <v>373459.61099999998</v>
      </c>
      <c r="K109" s="47"/>
      <c r="L109" s="47"/>
      <c r="M109" s="47"/>
      <c r="N109" s="160">
        <v>503262.533</v>
      </c>
      <c r="O109" s="47"/>
      <c r="P109" s="47"/>
      <c r="Q109" s="160">
        <v>0</v>
      </c>
      <c r="R109" s="47"/>
      <c r="S109" s="47"/>
      <c r="T109" s="47"/>
      <c r="U109" s="47"/>
      <c r="V109" s="47"/>
      <c r="W109" s="47"/>
      <c r="X109" s="47"/>
      <c r="Y109" s="47"/>
      <c r="Z109" s="47"/>
      <c r="AA109" s="47"/>
      <c r="AB109" s="75"/>
      <c r="AC109" s="52">
        <f>SUM(B109:AB109)</f>
        <v>876722.14399999997</v>
      </c>
      <c r="AD109" s="41"/>
      <c r="AE109" s="52">
        <f t="shared" si="13"/>
        <v>876.72214399999996</v>
      </c>
      <c r="AF109" s="128"/>
      <c r="AG109" s="111"/>
    </row>
    <row r="110" spans="1:33" ht="22.2" customHeight="1" x14ac:dyDescent="0.4">
      <c r="A110" s="100" t="s">
        <v>139</v>
      </c>
      <c r="B110" s="64"/>
      <c r="C110" s="63"/>
      <c r="D110" s="63"/>
      <c r="E110" s="45"/>
      <c r="F110" s="47"/>
      <c r="G110" s="160">
        <v>22486.472000000002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22486.472000000002</v>
      </c>
      <c r="AD110" s="41"/>
      <c r="AE110" s="52">
        <f t="shared" si="13"/>
        <v>22.486472000000003</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255067.83</v>
      </c>
      <c r="AC112" s="37">
        <f>SUM(AC113:AC116)</f>
        <v>255067.83</v>
      </c>
      <c r="AD112" s="41"/>
      <c r="AE112" s="37">
        <f t="shared" si="13"/>
        <v>255.06782999999999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0">
        <v>255067.83</v>
      </c>
      <c r="AC113" s="52">
        <f>SUM(B113:AB113)</f>
        <v>255067.83</v>
      </c>
      <c r="AD113" s="41"/>
      <c r="AE113" s="52">
        <f t="shared" si="13"/>
        <v>255.06782999999999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34792.485000000001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34792.485000000001</v>
      </c>
      <c r="AD117" s="41"/>
      <c r="AE117" s="37">
        <f t="shared" si="13"/>
        <v>34.792484999999999</v>
      </c>
      <c r="AF117" s="128"/>
      <c r="AG117" s="64"/>
    </row>
    <row r="118" spans="1:33" ht="22.2" customHeight="1" x14ac:dyDescent="0.4">
      <c r="A118" s="100" t="s">
        <v>147</v>
      </c>
      <c r="B118" s="44">
        <v>34792.485000000001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34792.485000000001</v>
      </c>
      <c r="AD118" s="41"/>
      <c r="AE118" s="52">
        <f t="shared" si="13"/>
        <v>34.792484999999999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1506190.33</v>
      </c>
      <c r="C121" s="33">
        <f>C122+C132+SUM(C143:C149)</f>
        <v>94212661.669699997</v>
      </c>
      <c r="D121" s="33">
        <f>D122+D132+SUM(D143:D149)</f>
        <v>28632666.541533999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124351518.54123399</v>
      </c>
      <c r="AD121" s="41"/>
      <c r="AE121" s="57">
        <f t="shared" si="13"/>
        <v>124351.51854123399</v>
      </c>
      <c r="AF121" s="128"/>
      <c r="AG121" s="33">
        <f>SUM(AG122:AG149)</f>
        <v>3912.94</v>
      </c>
    </row>
    <row r="122" spans="1:33" ht="22.2" customHeight="1" x14ac:dyDescent="0.4">
      <c r="A122" s="22" t="s">
        <v>151</v>
      </c>
      <c r="B122" s="58"/>
      <c r="C122" s="37">
        <f>SUM(C123:C131)</f>
        <v>75057267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75057267</v>
      </c>
      <c r="AD122" s="41"/>
      <c r="AE122" s="37">
        <f t="shared" si="13"/>
        <v>75057.267000000007</v>
      </c>
      <c r="AF122" s="128"/>
      <c r="AG122" s="63"/>
    </row>
    <row r="123" spans="1:33" ht="22.2" customHeight="1" x14ac:dyDescent="0.4">
      <c r="A123" s="21" t="s">
        <v>152</v>
      </c>
      <c r="B123" s="58"/>
      <c r="C123" s="44">
        <v>70757860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70757860</v>
      </c>
      <c r="AD123" s="41"/>
      <c r="AE123" s="52">
        <f t="shared" si="13"/>
        <v>70757.86</v>
      </c>
      <c r="AF123" s="128"/>
      <c r="AG123" s="111"/>
    </row>
    <row r="124" spans="1:33" ht="22.2" customHeight="1" x14ac:dyDescent="0.4">
      <c r="A124" s="21" t="s">
        <v>153</v>
      </c>
      <c r="B124" s="59"/>
      <c r="C124" s="44">
        <v>1670100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1670100</v>
      </c>
      <c r="AD124" s="41"/>
      <c r="AE124" s="52">
        <f t="shared" si="13"/>
        <v>1670.1</v>
      </c>
      <c r="AF124" s="128"/>
      <c r="AG124" s="111"/>
    </row>
    <row r="125" spans="1:33" ht="22.2" customHeight="1" x14ac:dyDescent="0.4">
      <c r="A125" s="21" t="s">
        <v>154</v>
      </c>
      <c r="B125" s="59"/>
      <c r="C125" s="44">
        <v>377924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377924</v>
      </c>
      <c r="AD125" s="41"/>
      <c r="AE125" s="52">
        <f t="shared" si="13"/>
        <v>377.92399999999998</v>
      </c>
      <c r="AF125" s="128"/>
      <c r="AG125" s="111"/>
    </row>
    <row r="126" spans="1:33" ht="22.2" customHeight="1" x14ac:dyDescent="0.4">
      <c r="A126" s="21" t="s">
        <v>155</v>
      </c>
      <c r="B126" s="59"/>
      <c r="C126" s="44">
        <v>310810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310810</v>
      </c>
      <c r="AD126" s="41"/>
      <c r="AE126" s="52">
        <f t="shared" si="13"/>
        <v>310.81</v>
      </c>
      <c r="AF126" s="128"/>
      <c r="AG126" s="111"/>
    </row>
    <row r="127" spans="1:33" ht="22.2" customHeight="1" x14ac:dyDescent="0.4">
      <c r="A127" s="21" t="s">
        <v>156</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157</v>
      </c>
      <c r="B128" s="59"/>
      <c r="C128" s="44">
        <v>1392537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1392537</v>
      </c>
      <c r="AD128" s="41"/>
      <c r="AE128" s="52">
        <f t="shared" si="13"/>
        <v>1392.537</v>
      </c>
      <c r="AF128" s="128"/>
      <c r="AG128" s="111"/>
    </row>
    <row r="129" spans="1:33" ht="22.2" customHeight="1" x14ac:dyDescent="0.4">
      <c r="A129" s="21" t="s">
        <v>158</v>
      </c>
      <c r="B129" s="76"/>
      <c r="C129" s="44">
        <v>438370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438370</v>
      </c>
      <c r="AD129" s="41"/>
      <c r="AE129" s="52">
        <f t="shared" si="13"/>
        <v>438.37</v>
      </c>
      <c r="AF129" s="128"/>
      <c r="AG129" s="111"/>
    </row>
    <row r="130" spans="1:33" ht="22.2" customHeight="1" x14ac:dyDescent="0.4">
      <c r="A130" s="21" t="s">
        <v>159</v>
      </c>
      <c r="B130" s="77"/>
      <c r="C130" s="44">
        <v>109666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109666</v>
      </c>
      <c r="AD130" s="41"/>
      <c r="AE130" s="52">
        <f t="shared" si="13"/>
        <v>109.666</v>
      </c>
      <c r="AF130" s="128"/>
      <c r="AG130" s="111"/>
    </row>
    <row r="131" spans="1:33" ht="22.2" customHeight="1" x14ac:dyDescent="0.4">
      <c r="A131" s="21" t="s">
        <v>160</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161</v>
      </c>
      <c r="B132" s="78"/>
      <c r="C132" s="62">
        <f>SUM(C133:C142)</f>
        <v>18317431</v>
      </c>
      <c r="D132" s="62">
        <f>SUM(D133:D142)</f>
        <v>7422279.0488999998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25739710.048900001</v>
      </c>
      <c r="AD132" s="41"/>
      <c r="AE132" s="37">
        <f t="shared" si="13"/>
        <v>25739.7100489</v>
      </c>
      <c r="AF132" s="128"/>
      <c r="AG132" s="78"/>
    </row>
    <row r="133" spans="1:33" ht="22.2" customHeight="1" x14ac:dyDescent="0.4">
      <c r="A133" s="21" t="s">
        <v>162</v>
      </c>
      <c r="B133" s="59"/>
      <c r="C133" s="44">
        <v>10971737</v>
      </c>
      <c r="D133" s="44">
        <v>6101568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17073305</v>
      </c>
      <c r="AD133" s="41"/>
      <c r="AE133" s="52">
        <f t="shared" si="13"/>
        <v>17073.305</v>
      </c>
      <c r="AF133" s="128"/>
      <c r="AG133" s="111"/>
    </row>
    <row r="134" spans="1:33" ht="22.2" customHeight="1" x14ac:dyDescent="0.4">
      <c r="A134" s="21" t="s">
        <v>163</v>
      </c>
      <c r="B134" s="59"/>
      <c r="C134" s="44">
        <v>37368</v>
      </c>
      <c r="D134" s="44">
        <v>37691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75059</v>
      </c>
      <c r="AD134" s="41"/>
      <c r="AE134" s="52">
        <f t="shared" si="13"/>
        <v>75.058999999999997</v>
      </c>
      <c r="AF134" s="128"/>
      <c r="AG134" s="111"/>
    </row>
    <row r="135" spans="1:33" ht="22.2" customHeight="1" x14ac:dyDescent="0.4">
      <c r="A135" s="21" t="s">
        <v>164</v>
      </c>
      <c r="B135" s="59"/>
      <c r="C135" s="44">
        <v>5368740</v>
      </c>
      <c r="D135" s="44">
        <v>457106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5825846</v>
      </c>
      <c r="AD135" s="41"/>
      <c r="AE135" s="52">
        <f t="shared" si="13"/>
        <v>5825.8459999999995</v>
      </c>
      <c r="AF135" s="128"/>
      <c r="AG135" s="111"/>
    </row>
    <row r="136" spans="1:33" ht="22.2" customHeight="1" x14ac:dyDescent="0.4">
      <c r="A136" s="21" t="s">
        <v>165</v>
      </c>
      <c r="B136" s="59"/>
      <c r="C136" s="44">
        <v>9141</v>
      </c>
      <c r="D136" s="44">
        <v>30519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39660</v>
      </c>
      <c r="AD136" s="41"/>
      <c r="AE136" s="52">
        <f t="shared" si="13"/>
        <v>39.659999999999997</v>
      </c>
      <c r="AF136" s="128"/>
      <c r="AG136" s="111"/>
    </row>
    <row r="137" spans="1:33" ht="22.2" customHeight="1" x14ac:dyDescent="0.4">
      <c r="A137" s="21" t="s">
        <v>166</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167</v>
      </c>
      <c r="B138" s="59"/>
      <c r="C138" s="44">
        <v>38175</v>
      </c>
      <c r="D138" s="44">
        <v>21272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59447</v>
      </c>
      <c r="AD138" s="41"/>
      <c r="AE138" s="52">
        <f t="shared" si="20"/>
        <v>59.447000000000003</v>
      </c>
      <c r="AF138" s="128"/>
      <c r="AG138" s="111"/>
    </row>
    <row r="139" spans="1:33" ht="22.2" customHeight="1" x14ac:dyDescent="0.4">
      <c r="A139" s="21" t="s">
        <v>168</v>
      </c>
      <c r="B139" s="59"/>
      <c r="C139" s="44">
        <v>41491</v>
      </c>
      <c r="D139" s="44">
        <v>334475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375966</v>
      </c>
      <c r="AD139" s="41"/>
      <c r="AE139" s="52">
        <f t="shared" si="20"/>
        <v>375.96600000000001</v>
      </c>
      <c r="AF139" s="128"/>
      <c r="AG139" s="111"/>
    </row>
    <row r="140" spans="1:33" ht="22.2" customHeight="1" x14ac:dyDescent="0.4">
      <c r="A140" s="21" t="s">
        <v>169</v>
      </c>
      <c r="B140" s="59"/>
      <c r="C140" s="44">
        <v>10616</v>
      </c>
      <c r="D140" s="44">
        <v>74727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85343</v>
      </c>
      <c r="AD140" s="41"/>
      <c r="AE140" s="52">
        <f t="shared" si="20"/>
        <v>85.343000000000004</v>
      </c>
      <c r="AF140" s="128"/>
      <c r="AG140" s="111"/>
    </row>
    <row r="141" spans="1:33" ht="22.2" customHeight="1" x14ac:dyDescent="0.4">
      <c r="A141" s="21" t="s">
        <v>170</v>
      </c>
      <c r="B141" s="76"/>
      <c r="C141" s="44">
        <v>1840163</v>
      </c>
      <c r="D141" s="44">
        <v>364921.04889999999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2205084.0488999998</v>
      </c>
      <c r="AD141" s="41"/>
      <c r="AE141" s="52">
        <f t="shared" si="20"/>
        <v>2205.0840488999997</v>
      </c>
      <c r="AF141" s="128"/>
      <c r="AG141" s="111"/>
    </row>
    <row r="142" spans="1:33" ht="22.2" customHeight="1" x14ac:dyDescent="0.4">
      <c r="A142" s="21" t="s">
        <v>171</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172</v>
      </c>
      <c r="B143" s="59"/>
      <c r="C143" s="75"/>
      <c r="D143" s="44">
        <v>717238.52339999995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717238.52339999995</v>
      </c>
      <c r="AD143" s="41"/>
      <c r="AE143" s="52">
        <f t="shared" ref="AE143:AE150" si="22">AC143/1000</f>
        <v>717.23852339999996</v>
      </c>
      <c r="AF143" s="128"/>
      <c r="AG143" s="111"/>
    </row>
    <row r="144" spans="1:33" ht="22.2" customHeight="1" x14ac:dyDescent="0.4">
      <c r="A144" s="22" t="s">
        <v>173</v>
      </c>
      <c r="B144" s="59"/>
      <c r="C144" s="44">
        <v>128081.265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128081.265</v>
      </c>
      <c r="AD144" s="41"/>
      <c r="AE144" s="52">
        <f t="shared" si="22"/>
        <v>128.081265</v>
      </c>
      <c r="AF144" s="128"/>
      <c r="AG144" s="111"/>
    </row>
    <row r="145" spans="1:33" ht="22.2" customHeight="1" x14ac:dyDescent="0.4">
      <c r="A145" s="22" t="s">
        <v>174</v>
      </c>
      <c r="B145" s="59"/>
      <c r="C145" s="75"/>
      <c r="D145" s="44">
        <v>13562885.9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13562885.9</v>
      </c>
      <c r="AD145" s="41"/>
      <c r="AE145" s="52">
        <f t="shared" si="22"/>
        <v>13562.885900000001</v>
      </c>
      <c r="AF145" s="128"/>
      <c r="AG145" s="111"/>
    </row>
    <row r="146" spans="1:33" ht="22.2" customHeight="1" x14ac:dyDescent="0.4">
      <c r="A146" s="22" t="s">
        <v>175</v>
      </c>
      <c r="B146" s="59"/>
      <c r="C146" s="75"/>
      <c r="D146" s="44">
        <v>6715135.9508339996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6715135.9508339996</v>
      </c>
      <c r="AD146" s="41"/>
      <c r="AE146" s="52">
        <f t="shared" si="22"/>
        <v>6715.1359508339992</v>
      </c>
      <c r="AF146" s="128"/>
      <c r="AG146" s="111"/>
    </row>
    <row r="147" spans="1:33" ht="22.2" customHeight="1" x14ac:dyDescent="0.4">
      <c r="A147" s="21" t="s">
        <v>176</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v>3912.94</v>
      </c>
    </row>
    <row r="148" spans="1:33" ht="22.2" customHeight="1" x14ac:dyDescent="0.4">
      <c r="A148" s="22" t="s">
        <v>177</v>
      </c>
      <c r="B148" s="44">
        <v>48955.53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48955.53</v>
      </c>
      <c r="AD148" s="41"/>
      <c r="AE148" s="52">
        <f t="shared" si="22"/>
        <v>48.955529999999996</v>
      </c>
      <c r="AF148" s="128"/>
      <c r="AG148" s="111"/>
    </row>
    <row r="149" spans="1:33" ht="22.2" customHeight="1" x14ac:dyDescent="0.4">
      <c r="A149" s="22" t="s">
        <v>178</v>
      </c>
      <c r="B149" s="44">
        <v>1457234.8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1457234.8</v>
      </c>
      <c r="AD149" s="41"/>
      <c r="AE149" s="52">
        <f t="shared" si="22"/>
        <v>1457.2348</v>
      </c>
      <c r="AF149" s="128"/>
      <c r="AG149" s="111"/>
    </row>
    <row r="150" spans="1:33" ht="22.2" customHeight="1" x14ac:dyDescent="0.4">
      <c r="A150" s="15" t="s">
        <v>179</v>
      </c>
      <c r="B150" s="33">
        <f>B151+B154+B157+B160+B163+B166+B173</f>
        <v>-190055341.84940001</v>
      </c>
      <c r="C150" s="33">
        <f>C169</f>
        <v>828633.1017</v>
      </c>
      <c r="D150" s="33">
        <f>D169</f>
        <v>439587.60269999999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-188787121.14500001</v>
      </c>
      <c r="AD150" s="41"/>
      <c r="AE150" s="57">
        <f t="shared" si="22"/>
        <v>-188787.12114500001</v>
      </c>
      <c r="AF150" s="128"/>
      <c r="AG150" s="33">
        <f>AG169</f>
        <v>6395.2999999999993</v>
      </c>
    </row>
    <row r="151" spans="1:33" ht="22.2" customHeight="1" x14ac:dyDescent="0.4">
      <c r="A151" s="22" t="s">
        <v>180</v>
      </c>
      <c r="B151" s="151">
        <f>SUM(B152:B153)</f>
        <v>-183329846.1119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-183329846.1119</v>
      </c>
      <c r="AD151" s="41"/>
      <c r="AE151" s="79">
        <f t="shared" si="20"/>
        <v>-183329.8461119</v>
      </c>
      <c r="AF151" s="128"/>
      <c r="AG151" s="63"/>
    </row>
    <row r="152" spans="1:33" ht="22.2" customHeight="1" x14ac:dyDescent="0.4">
      <c r="A152" s="21" t="s">
        <v>181</v>
      </c>
      <c r="B152" s="44">
        <v>-179333514.2313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-179333514.2313</v>
      </c>
      <c r="AD152" s="41"/>
      <c r="AE152" s="52">
        <f t="shared" si="20"/>
        <v>-179333.51423130001</v>
      </c>
      <c r="AF152" s="128"/>
      <c r="AG152" s="111"/>
    </row>
    <row r="153" spans="1:33" ht="22.2" customHeight="1" x14ac:dyDescent="0.4">
      <c r="A153" s="21" t="s">
        <v>182</v>
      </c>
      <c r="B153" s="44">
        <v>-3996331.8805999998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-3996331.8805999998</v>
      </c>
      <c r="AD153" s="41"/>
      <c r="AE153" s="52">
        <f t="shared" si="20"/>
        <v>-3996.3318805999997</v>
      </c>
      <c r="AF153" s="128"/>
      <c r="AG153" s="111"/>
    </row>
    <row r="154" spans="1:33" ht="22.2" customHeight="1" x14ac:dyDescent="0.4">
      <c r="A154" s="22" t="s">
        <v>183</v>
      </c>
      <c r="B154" s="151">
        <f>SUM(B155:B156)</f>
        <v>-13671447.162400002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-13671447.162400002</v>
      </c>
      <c r="AD154" s="41"/>
      <c r="AE154" s="79">
        <f t="shared" si="20"/>
        <v>-13671.447162400002</v>
      </c>
      <c r="AF154" s="128"/>
      <c r="AG154" s="63"/>
    </row>
    <row r="155" spans="1:33" ht="22.2" customHeight="1" x14ac:dyDescent="0.4">
      <c r="A155" s="21" t="s">
        <v>184</v>
      </c>
      <c r="B155" s="44">
        <v>-19735035.517900001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-19735035.517900001</v>
      </c>
      <c r="AD155" s="41"/>
      <c r="AE155" s="52">
        <f t="shared" si="20"/>
        <v>-19735.0355179</v>
      </c>
      <c r="AF155" s="128"/>
      <c r="AG155" s="111"/>
    </row>
    <row r="156" spans="1:33" ht="22.2" customHeight="1" x14ac:dyDescent="0.4">
      <c r="A156" s="21" t="s">
        <v>185</v>
      </c>
      <c r="B156" s="44">
        <v>6063588.3554999996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6063588.3554999996</v>
      </c>
      <c r="AD156" s="41"/>
      <c r="AE156" s="52">
        <f t="shared" si="20"/>
        <v>6063.5883555</v>
      </c>
      <c r="AF156" s="128"/>
      <c r="AG156" s="111"/>
    </row>
    <row r="157" spans="1:33" ht="22.2" customHeight="1" x14ac:dyDescent="0.4">
      <c r="A157" s="22" t="s">
        <v>186</v>
      </c>
      <c r="B157" s="151">
        <f>SUM(B158:B159)</f>
        <v>10045405.685700001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10045405.685700001</v>
      </c>
      <c r="AD157" s="41"/>
      <c r="AE157" s="79">
        <f t="shared" si="20"/>
        <v>10045.405685700001</v>
      </c>
      <c r="AF157" s="128"/>
      <c r="AG157" s="63"/>
    </row>
    <row r="158" spans="1:33" ht="22.2" customHeight="1" x14ac:dyDescent="0.4">
      <c r="A158" s="21" t="s">
        <v>187</v>
      </c>
      <c r="B158" s="44">
        <v>-454429.42810000002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-454429.42810000002</v>
      </c>
      <c r="AD158" s="41"/>
      <c r="AE158" s="52">
        <f t="shared" si="20"/>
        <v>-454.4294281</v>
      </c>
      <c r="AF158" s="128"/>
      <c r="AG158" s="111"/>
    </row>
    <row r="159" spans="1:33" ht="22.2" customHeight="1" x14ac:dyDescent="0.4">
      <c r="A159" s="21" t="s">
        <v>188</v>
      </c>
      <c r="B159" s="44">
        <v>10499835.1138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10499835.1138</v>
      </c>
      <c r="AD159" s="41"/>
      <c r="AE159" s="52">
        <f t="shared" si="20"/>
        <v>10499.8351138</v>
      </c>
      <c r="AF159" s="128"/>
      <c r="AG159" s="111"/>
    </row>
    <row r="160" spans="1:33" ht="22.2" customHeight="1" x14ac:dyDescent="0.4">
      <c r="A160" s="22" t="s">
        <v>189</v>
      </c>
      <c r="B160" s="151">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190</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191</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192</v>
      </c>
      <c r="B163" s="151">
        <f>SUM(B164:B165)</f>
        <v>774789.94850000006</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774789.94850000006</v>
      </c>
      <c r="AD163" s="41"/>
      <c r="AE163" s="79">
        <f t="shared" si="20"/>
        <v>774.78994850000004</v>
      </c>
      <c r="AF163" s="128"/>
      <c r="AG163" s="63"/>
    </row>
    <row r="164" spans="1:33" ht="22.2" customHeight="1" x14ac:dyDescent="0.4">
      <c r="A164" s="21" t="s">
        <v>193</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194</v>
      </c>
      <c r="B165" s="44">
        <v>774789.94850000006</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774789.94850000006</v>
      </c>
      <c r="AD165" s="41"/>
      <c r="AE165" s="52">
        <f t="shared" si="20"/>
        <v>774.78994850000004</v>
      </c>
      <c r="AF165" s="128"/>
      <c r="AG165" s="111"/>
    </row>
    <row r="166" spans="1:33" ht="22.2" customHeight="1" x14ac:dyDescent="0.4">
      <c r="A166" s="22" t="s">
        <v>195</v>
      </c>
      <c r="B166" s="151">
        <f>SUM(B167:B168)</f>
        <v>158571.3983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158571.3983</v>
      </c>
      <c r="AD166" s="41"/>
      <c r="AE166" s="79">
        <f t="shared" si="20"/>
        <v>158.5713983</v>
      </c>
      <c r="AF166" s="128"/>
      <c r="AG166" s="63"/>
    </row>
    <row r="167" spans="1:33" ht="22.2" customHeight="1" x14ac:dyDescent="0.4">
      <c r="A167" s="21" t="s">
        <v>196</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197</v>
      </c>
      <c r="B168" s="44">
        <v>158571.3983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158571.3983</v>
      </c>
      <c r="AD168" s="41"/>
      <c r="AE168" s="52">
        <f t="shared" si="20"/>
        <v>158.5713983</v>
      </c>
      <c r="AF168" s="128"/>
      <c r="AG168" s="111"/>
    </row>
    <row r="169" spans="1:33" ht="22.2" customHeight="1" x14ac:dyDescent="0.4">
      <c r="A169" s="22" t="s">
        <v>198</v>
      </c>
      <c r="B169" s="59"/>
      <c r="C169" s="62">
        <f>SUM(C170:C171)</f>
        <v>828633.1017</v>
      </c>
      <c r="D169" s="62">
        <f>SUM(D170:D171)</f>
        <v>439587.60269999999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1268220.7043999999</v>
      </c>
      <c r="AD169" s="41"/>
      <c r="AE169" s="52">
        <f t="shared" si="20"/>
        <v>1268.2207043999999</v>
      </c>
      <c r="AF169" s="128"/>
      <c r="AG169" s="54">
        <f>SUM(AG170:AG171)</f>
        <v>6395.2999999999993</v>
      </c>
    </row>
    <row r="170" spans="1:33" ht="22.2" customHeight="1" x14ac:dyDescent="0.4">
      <c r="A170" s="21" t="s">
        <v>199</v>
      </c>
      <c r="B170" s="59"/>
      <c r="C170" s="44">
        <v>552925.31169999996</v>
      </c>
      <c r="D170" s="44">
        <v>201340.1127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754265.4243999999</v>
      </c>
      <c r="AD170" s="41"/>
      <c r="AE170" s="52">
        <f t="shared" si="20"/>
        <v>754.26542439999992</v>
      </c>
      <c r="AF170" s="128"/>
      <c r="AG170" s="44">
        <v>2986.6109999999999</v>
      </c>
    </row>
    <row r="171" spans="1:33" ht="22.2" customHeight="1" x14ac:dyDescent="0.4">
      <c r="A171" s="21" t="s">
        <v>200</v>
      </c>
      <c r="B171" s="59"/>
      <c r="C171" s="44">
        <v>275707.78999999998</v>
      </c>
      <c r="D171" s="44">
        <v>238247.49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513955.27999999997</v>
      </c>
      <c r="AD171" s="41"/>
      <c r="AE171" s="52">
        <f t="shared" si="20"/>
        <v>513.95528000000002</v>
      </c>
      <c r="AF171" s="128"/>
      <c r="AG171" s="44">
        <v>3408.6889999999999</v>
      </c>
    </row>
    <row r="172" spans="1:33" ht="22.2" customHeight="1" x14ac:dyDescent="0.4">
      <c r="A172" s="21" t="s">
        <v>201</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202</v>
      </c>
      <c r="B173" s="44">
        <v>-4115657.2707000002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-4115657.2707000002</v>
      </c>
      <c r="AD173" s="41"/>
      <c r="AE173" s="52">
        <f t="shared" si="20"/>
        <v>-4115.6572707000005</v>
      </c>
      <c r="AF173" s="128"/>
      <c r="AG173" s="111"/>
    </row>
    <row r="174" spans="1:33" ht="22.2" customHeight="1" thickBot="1" x14ac:dyDescent="0.45">
      <c r="A174" s="23" t="s">
        <v>203</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2"/>
      <c r="AC174" s="124"/>
      <c r="AD174" s="41"/>
      <c r="AE174" s="124"/>
      <c r="AF174" s="128"/>
      <c r="AG174" s="127"/>
    </row>
    <row r="175" spans="1:33" ht="22.2" customHeight="1" x14ac:dyDescent="0.4">
      <c r="A175" s="15" t="s">
        <v>204</v>
      </c>
      <c r="B175" s="33">
        <f>B176+B180+B181+B184+B187</f>
        <v>1500613.8199999998</v>
      </c>
      <c r="C175" s="33">
        <f>C176+C180+C181+C184+C187</f>
        <v>45795882.46029523</v>
      </c>
      <c r="D175" s="33">
        <f>D176+D180+D181+D184+D187</f>
        <v>4792687.8780000005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52089184.158295229</v>
      </c>
      <c r="AD175" s="97"/>
      <c r="AE175" s="81">
        <f t="shared" si="20"/>
        <v>52089.184158295226</v>
      </c>
      <c r="AF175" s="128"/>
      <c r="AG175" s="33">
        <f>AG176+AG180+AG181+AG184+AG187</f>
        <v>1496.381457</v>
      </c>
    </row>
    <row r="176" spans="1:33" ht="22.2" customHeight="1" x14ac:dyDescent="0.4">
      <c r="A176" s="24" t="s">
        <v>205</v>
      </c>
      <c r="B176" s="63"/>
      <c r="C176" s="62">
        <f>C177+C178+C179</f>
        <v>23944210.847295232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23944210.847295232</v>
      </c>
      <c r="AD176" s="97"/>
      <c r="AE176" s="37">
        <f t="shared" si="20"/>
        <v>23944.210847295231</v>
      </c>
      <c r="AF176" s="128"/>
      <c r="AG176" s="78"/>
    </row>
    <row r="177" spans="1:33" ht="22.2" customHeight="1" x14ac:dyDescent="0.4">
      <c r="A177" s="100" t="s">
        <v>206</v>
      </c>
      <c r="B177" s="63"/>
      <c r="C177" s="44">
        <v>15462405.685231891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15462405.685231891</v>
      </c>
      <c r="AD177" s="97"/>
      <c r="AE177" s="44">
        <f t="shared" si="20"/>
        <v>15462.40568523189</v>
      </c>
      <c r="AF177" s="128"/>
      <c r="AG177" s="111"/>
    </row>
    <row r="178" spans="1:33" ht="22.2" customHeight="1" x14ac:dyDescent="0.4">
      <c r="A178" s="100" t="s">
        <v>207</v>
      </c>
      <c r="B178" s="63"/>
      <c r="C178" s="44">
        <v>5963754.3192787329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5963754.3192787329</v>
      </c>
      <c r="AD178" s="97"/>
      <c r="AE178" s="52">
        <f t="shared" si="20"/>
        <v>5963.7543192787325</v>
      </c>
      <c r="AF178" s="128"/>
      <c r="AG178" s="111"/>
    </row>
    <row r="179" spans="1:33" ht="22.2" customHeight="1" x14ac:dyDescent="0.4">
      <c r="A179" s="100" t="s">
        <v>208</v>
      </c>
      <c r="B179" s="63"/>
      <c r="C179" s="44">
        <v>2518050.8427846087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2518050.8427846087</v>
      </c>
      <c r="AD179" s="97"/>
      <c r="AE179" s="52">
        <f t="shared" si="20"/>
        <v>2518.0508427846089</v>
      </c>
      <c r="AF179" s="128"/>
      <c r="AG179" s="111"/>
    </row>
    <row r="180" spans="1:33" ht="22.2" customHeight="1" x14ac:dyDescent="0.4">
      <c r="A180" s="24" t="s">
        <v>209</v>
      </c>
      <c r="B180" s="63"/>
      <c r="C180" s="163">
        <v>96080.794999999998</v>
      </c>
      <c r="D180" s="164">
        <v>68200.206999999995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164281.00199999998</v>
      </c>
      <c r="AD180" s="97"/>
      <c r="AE180" s="37">
        <f t="shared" si="20"/>
        <v>164.28100199999997</v>
      </c>
      <c r="AF180" s="128"/>
      <c r="AG180" s="111"/>
    </row>
    <row r="181" spans="1:33" ht="22.2" customHeight="1" x14ac:dyDescent="0.4">
      <c r="A181" s="24" t="s">
        <v>210</v>
      </c>
      <c r="B181" s="62">
        <f>B182+B183</f>
        <v>1500613.8199999998</v>
      </c>
      <c r="C181" s="62">
        <f>C182+C183</f>
        <v>862954.44799999997</v>
      </c>
      <c r="D181" s="62">
        <f>D182+D183</f>
        <v>190999.59600000002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2554567.8639999996</v>
      </c>
      <c r="AD181" s="97"/>
      <c r="AE181" s="37">
        <f t="shared" si="20"/>
        <v>2554.5678639999996</v>
      </c>
      <c r="AF181" s="128"/>
      <c r="AG181" s="37">
        <f>AG182+AG183</f>
        <v>1496.381457</v>
      </c>
    </row>
    <row r="182" spans="1:33" ht="22.2" customHeight="1" x14ac:dyDescent="0.4">
      <c r="A182" s="100" t="s">
        <v>211</v>
      </c>
      <c r="B182" s="44">
        <v>65629.149999999994</v>
      </c>
      <c r="C182" s="44">
        <v>122.747</v>
      </c>
      <c r="D182" s="44">
        <v>2551.4639999999999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68303.361000000004</v>
      </c>
      <c r="AD182" s="97"/>
      <c r="AE182" s="52">
        <f t="shared" si="20"/>
        <v>68.30336100000001</v>
      </c>
      <c r="AF182" s="128"/>
      <c r="AG182" s="111"/>
    </row>
    <row r="183" spans="1:33" ht="22.2" customHeight="1" x14ac:dyDescent="0.4">
      <c r="A183" s="100" t="s">
        <v>212</v>
      </c>
      <c r="B183" s="44">
        <v>1434984.67</v>
      </c>
      <c r="C183" s="44">
        <v>862831.701</v>
      </c>
      <c r="D183" s="44">
        <v>188448.13200000001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2486264.503</v>
      </c>
      <c r="AD183" s="97"/>
      <c r="AE183" s="52">
        <f t="shared" si="20"/>
        <v>2486.2645029999999</v>
      </c>
      <c r="AF183" s="128"/>
      <c r="AG183" s="44">
        <v>1496.381457</v>
      </c>
    </row>
    <row r="184" spans="1:33" ht="22.2" customHeight="1" x14ac:dyDescent="0.4">
      <c r="A184" s="20" t="s">
        <v>213</v>
      </c>
      <c r="B184" s="63"/>
      <c r="C184" s="37">
        <f>SUM(C185:C186)</f>
        <v>20892636.370000001</v>
      </c>
      <c r="D184" s="37">
        <f>SUM(D185:D186)</f>
        <v>4533488.0750000002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25426124.445</v>
      </c>
      <c r="AD184" s="97"/>
      <c r="AE184" s="37">
        <f t="shared" si="20"/>
        <v>25426.124445000001</v>
      </c>
      <c r="AF184" s="128"/>
      <c r="AG184" s="76"/>
    </row>
    <row r="185" spans="1:33" ht="22.2" customHeight="1" x14ac:dyDescent="0.4">
      <c r="A185" s="100" t="s">
        <v>214</v>
      </c>
      <c r="B185" s="63"/>
      <c r="C185" s="44">
        <v>4027691.46</v>
      </c>
      <c r="D185" s="44">
        <v>2199967.452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6227658.9120000005</v>
      </c>
      <c r="AD185" s="97"/>
      <c r="AE185" s="52">
        <f t="shared" si="20"/>
        <v>6227.6589120000008</v>
      </c>
      <c r="AF185" s="128"/>
      <c r="AG185" s="111"/>
    </row>
    <row r="186" spans="1:33" ht="22.2" customHeight="1" x14ac:dyDescent="0.4">
      <c r="A186" s="100" t="s">
        <v>215</v>
      </c>
      <c r="B186" s="63"/>
      <c r="C186" s="44">
        <v>16864944.91</v>
      </c>
      <c r="D186" s="44">
        <v>2333520.6230000001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19198465.533</v>
      </c>
      <c r="AD186" s="97"/>
      <c r="AE186" s="52">
        <f t="shared" si="20"/>
        <v>19198.465532999999</v>
      </c>
      <c r="AF186" s="128"/>
      <c r="AG186" s="111"/>
    </row>
    <row r="187" spans="1:33" ht="22.2" customHeight="1" thickBot="1" x14ac:dyDescent="0.45">
      <c r="A187" s="20" t="s">
        <v>216</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2"/>
      <c r="AC187" s="125"/>
      <c r="AD187" s="97"/>
      <c r="AE187" s="125">
        <f t="shared" si="20"/>
        <v>0</v>
      </c>
      <c r="AF187" s="128"/>
      <c r="AG187" s="127"/>
    </row>
    <row r="188" spans="1:33" ht="22.2" customHeight="1" thickBot="1" x14ac:dyDescent="0.45">
      <c r="A188" s="140" t="s">
        <v>217</v>
      </c>
      <c r="B188" s="137">
        <f t="shared" ref="B188:L188" si="26">B10+B68+B121+B175</f>
        <v>537470393.62042129</v>
      </c>
      <c r="C188" s="137">
        <f t="shared" si="26"/>
        <v>158170762.29804048</v>
      </c>
      <c r="D188" s="137">
        <f t="shared" si="26"/>
        <v>37015339.14435339</v>
      </c>
      <c r="E188" s="137">
        <f t="shared" si="26"/>
        <v>485.08800000000008</v>
      </c>
      <c r="F188" s="137">
        <f t="shared" si="26"/>
        <v>1069892.7390000001</v>
      </c>
      <c r="G188" s="137">
        <f t="shared" si="26"/>
        <v>22486.472000000002</v>
      </c>
      <c r="H188" s="137">
        <f t="shared" si="26"/>
        <v>28702.977999999999</v>
      </c>
      <c r="I188" s="137">
        <f t="shared" si="26"/>
        <v>284.34699999999998</v>
      </c>
      <c r="J188" s="137">
        <f t="shared" si="26"/>
        <v>6632266.4679999994</v>
      </c>
      <c r="K188" s="137">
        <f t="shared" si="26"/>
        <v>7557352.0480000004</v>
      </c>
      <c r="L188" s="137">
        <f t="shared" si="26"/>
        <v>213764.00700000001</v>
      </c>
      <c r="M188" s="137">
        <f>M175+M121+M68+M10</f>
        <v>472544.16600000003</v>
      </c>
      <c r="N188" s="137">
        <f t="shared" ref="N188:AC188" si="27">N10+N68+N121+N175</f>
        <v>503262.533</v>
      </c>
      <c r="O188" s="137">
        <f t="shared" si="27"/>
        <v>32596.57</v>
      </c>
      <c r="P188" s="137">
        <f t="shared" si="27"/>
        <v>67187.519</v>
      </c>
      <c r="Q188" s="137">
        <f t="shared" si="27"/>
        <v>41442.173000000003</v>
      </c>
      <c r="R188" s="137">
        <f t="shared" si="27"/>
        <v>467.00400000000002</v>
      </c>
      <c r="S188" s="137">
        <f t="shared" si="27"/>
        <v>1391374.42</v>
      </c>
      <c r="T188" s="137">
        <f t="shared" si="27"/>
        <v>1.5890544000000002</v>
      </c>
      <c r="U188" s="137">
        <f t="shared" si="27"/>
        <v>22527.36217450089</v>
      </c>
      <c r="V188" s="137">
        <f t="shared" si="27"/>
        <v>2422.4505496999818</v>
      </c>
      <c r="W188" s="137">
        <f t="shared" si="27"/>
        <v>208.90080000000003</v>
      </c>
      <c r="X188" s="137">
        <f t="shared" si="27"/>
        <v>2.3472000000000007E-3</v>
      </c>
      <c r="Y188" s="137">
        <f t="shared" si="27"/>
        <v>74.748959795772208</v>
      </c>
      <c r="Z188" s="137">
        <f t="shared" si="27"/>
        <v>1.5648000000000001E-3</v>
      </c>
      <c r="AA188" s="137">
        <f t="shared" si="27"/>
        <v>2124.6163101041129</v>
      </c>
      <c r="AB188" s="137">
        <f t="shared" si="27"/>
        <v>257088.54414367705</v>
      </c>
      <c r="AC188" s="137">
        <f t="shared" si="27"/>
        <v>750975051.81071949</v>
      </c>
      <c r="AD188" s="97"/>
      <c r="AE188" s="137">
        <f t="shared" si="20"/>
        <v>750975.05181071954</v>
      </c>
      <c r="AF188" s="91"/>
      <c r="AG188" s="147">
        <f>AG175+AG121+AG68+AG10</f>
        <v>71031.686069219606</v>
      </c>
    </row>
    <row r="189" spans="1:33" ht="22.2" customHeight="1" thickBot="1" x14ac:dyDescent="0.45">
      <c r="A189" s="153"/>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82"/>
      <c r="AC189" s="155"/>
      <c r="AD189" s="41"/>
      <c r="AE189" s="155"/>
      <c r="AF189" s="91"/>
      <c r="AG189" s="83"/>
    </row>
    <row r="190" spans="1:33" ht="22.2" customHeight="1" x14ac:dyDescent="0.4">
      <c r="A190" s="16" t="s">
        <v>218</v>
      </c>
      <c r="B190" s="62">
        <f>B191+B192</f>
        <v>5981418.0870000003</v>
      </c>
      <c r="C190" s="62">
        <f>C191+C192</f>
        <v>1153.2190000000001</v>
      </c>
      <c r="D190" s="62">
        <f>D191+D192</f>
        <v>43657.569000000003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6026228.875</v>
      </c>
      <c r="AD190" s="41"/>
      <c r="AE190" s="37">
        <f t="shared" si="20"/>
        <v>6026.2288749999998</v>
      </c>
      <c r="AF190" s="91"/>
      <c r="AG190" s="37">
        <f>AG191</f>
        <v>84.618200000000002</v>
      </c>
    </row>
    <row r="191" spans="1:33" ht="22.2" customHeight="1" x14ac:dyDescent="0.4">
      <c r="A191" s="25" t="s">
        <v>219</v>
      </c>
      <c r="B191" s="44">
        <v>5981418.0870000003</v>
      </c>
      <c r="C191" s="44">
        <v>1153.2190000000001</v>
      </c>
      <c r="D191" s="44">
        <v>43657.569000000003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6026228.875</v>
      </c>
      <c r="AD191" s="41"/>
      <c r="AE191" s="52">
        <f t="shared" si="20"/>
        <v>6026.2288749999998</v>
      </c>
      <c r="AF191" s="91"/>
      <c r="AG191" s="52">
        <v>84.618200000000002</v>
      </c>
    </row>
    <row r="192" spans="1:33" ht="22.2" customHeight="1" x14ac:dyDescent="0.4">
      <c r="A192" s="26" t="s">
        <v>220</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6"/>
      <c r="AC192" s="126"/>
      <c r="AD192" s="41"/>
      <c r="AE192" s="126"/>
      <c r="AF192" s="91"/>
      <c r="AG192" s="109"/>
    </row>
    <row r="193" spans="1:33" ht="22.2" customHeight="1" thickBot="1" x14ac:dyDescent="0.45">
      <c r="A193" s="118" t="s">
        <v>221</v>
      </c>
      <c r="B193" s="161">
        <v>33732246</v>
      </c>
      <c r="C193" s="143"/>
      <c r="D193" s="142"/>
      <c r="E193" s="141"/>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8"/>
      <c r="AC193" s="31">
        <f>SUM(B193:AB193)</f>
        <v>33732246</v>
      </c>
      <c r="AE193" s="31">
        <f t="shared" si="20"/>
        <v>33732.245999999999</v>
      </c>
      <c r="AF193" s="91"/>
      <c r="AG193" s="87"/>
    </row>
    <row r="194" spans="1:33" ht="27.6" customHeight="1" thickBot="1" x14ac:dyDescent="0.45">
      <c r="A194" s="88"/>
      <c r="AB194" s="89"/>
    </row>
    <row r="195" spans="1:33" ht="66" customHeight="1" x14ac:dyDescent="0.4">
      <c r="A195" s="17"/>
      <c r="B195" s="146" t="s">
        <v>222</v>
      </c>
      <c r="C195" s="148">
        <v>1</v>
      </c>
      <c r="D195" s="183" t="s">
        <v>223</v>
      </c>
      <c r="E195" s="183"/>
      <c r="F195" s="183"/>
      <c r="G195" s="183"/>
      <c r="H195" s="183"/>
      <c r="I195" s="183"/>
      <c r="J195" s="183"/>
      <c r="K195" s="183"/>
      <c r="L195" s="183"/>
      <c r="M195" s="183"/>
      <c r="N195" s="184"/>
      <c r="AC195" s="90"/>
    </row>
    <row r="196" spans="1:33" ht="37.200000000000003" customHeight="1" x14ac:dyDescent="0.4">
      <c r="B196" s="144"/>
      <c r="C196" s="149">
        <v>2</v>
      </c>
      <c r="D196" s="185" t="s">
        <v>224</v>
      </c>
      <c r="E196" s="185"/>
      <c r="F196" s="185"/>
      <c r="G196" s="185"/>
      <c r="H196" s="185"/>
      <c r="I196" s="185"/>
      <c r="J196" s="185"/>
      <c r="K196" s="185"/>
      <c r="L196" s="185"/>
      <c r="M196" s="185"/>
      <c r="N196" s="186"/>
    </row>
    <row r="197" spans="1:33" ht="42.6" customHeight="1" x14ac:dyDescent="0.4">
      <c r="A197" s="88"/>
      <c r="B197" s="144"/>
      <c r="C197" s="149">
        <v>3</v>
      </c>
      <c r="D197" s="185" t="s">
        <v>225</v>
      </c>
      <c r="E197" s="185"/>
      <c r="F197" s="185"/>
      <c r="G197" s="185"/>
      <c r="H197" s="185"/>
      <c r="I197" s="185"/>
      <c r="J197" s="185"/>
      <c r="K197" s="185"/>
      <c r="L197" s="185"/>
      <c r="M197" s="185"/>
      <c r="N197" s="186"/>
    </row>
    <row r="198" spans="1:33" ht="27.6" customHeight="1" x14ac:dyDescent="0.4">
      <c r="A198" s="88"/>
      <c r="B198" s="144"/>
      <c r="C198" s="149">
        <v>4</v>
      </c>
      <c r="D198" s="185" t="s">
        <v>226</v>
      </c>
      <c r="E198" s="185"/>
      <c r="F198" s="185"/>
      <c r="G198" s="185"/>
      <c r="H198" s="185"/>
      <c r="I198" s="185"/>
      <c r="J198" s="185"/>
      <c r="K198" s="185"/>
      <c r="L198" s="185"/>
      <c r="M198" s="185"/>
      <c r="N198" s="186"/>
    </row>
    <row r="199" spans="1:33" ht="35.25" customHeight="1" thickBot="1" x14ac:dyDescent="0.45">
      <c r="A199" s="88"/>
      <c r="B199" s="145"/>
      <c r="C199" s="150">
        <v>5</v>
      </c>
      <c r="D199" s="187" t="s">
        <v>227</v>
      </c>
      <c r="E199" s="187"/>
      <c r="F199" s="187"/>
      <c r="G199" s="187"/>
      <c r="H199" s="187"/>
      <c r="I199" s="187"/>
      <c r="J199" s="187"/>
      <c r="K199" s="187"/>
      <c r="L199" s="187"/>
      <c r="M199" s="187"/>
      <c r="N199" s="188"/>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BFF7-DEAA-45EA-A493-1FC6AC7798F7}">
  <dimension ref="A1:AG200"/>
  <sheetViews>
    <sheetView topLeftCell="A91" zoomScale="110" zoomScaleNormal="110" workbookViewId="0">
      <pane xSplit="1" topLeftCell="B1" activePane="topRight" state="frozen"/>
      <selection activeCell="E13" sqref="E13"/>
      <selection pane="topRight" activeCell="B26" sqref="B26"/>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6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69"/>
      <c r="B3" s="5">
        <v>2018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70"/>
      <c r="B4" s="171" t="s">
        <v>3</v>
      </c>
      <c r="C4" s="171" t="s">
        <v>4</v>
      </c>
      <c r="D4" s="171" t="s">
        <v>5</v>
      </c>
      <c r="E4" s="165" t="s">
        <v>6</v>
      </c>
      <c r="F4" s="166"/>
      <c r="G4" s="166"/>
      <c r="H4" s="166"/>
      <c r="I4" s="166"/>
      <c r="J4" s="166"/>
      <c r="K4" s="166"/>
      <c r="L4" s="166"/>
      <c r="M4" s="166"/>
      <c r="N4" s="166"/>
      <c r="O4" s="166"/>
      <c r="P4" s="166"/>
      <c r="Q4" s="166"/>
      <c r="R4" s="166"/>
      <c r="S4" s="166"/>
      <c r="T4" s="167"/>
      <c r="U4" s="165" t="s">
        <v>7</v>
      </c>
      <c r="V4" s="166"/>
      <c r="W4" s="166"/>
      <c r="X4" s="166"/>
      <c r="Y4" s="166"/>
      <c r="Z4" s="167"/>
      <c r="AA4" s="173" t="s">
        <v>8</v>
      </c>
      <c r="AB4" s="171" t="s">
        <v>9</v>
      </c>
      <c r="AC4" s="175" t="s">
        <v>10</v>
      </c>
      <c r="AD4" s="91"/>
      <c r="AE4" s="175" t="s">
        <v>11</v>
      </c>
      <c r="AF4" s="91"/>
      <c r="AG4" s="177" t="s">
        <v>12</v>
      </c>
    </row>
    <row r="5" spans="1:33" ht="27.6" customHeight="1" thickBot="1" x14ac:dyDescent="0.45">
      <c r="A5" s="170"/>
      <c r="B5" s="172"/>
      <c r="C5" s="172"/>
      <c r="D5" s="17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74"/>
      <c r="AB5" s="172"/>
      <c r="AC5" s="176"/>
      <c r="AD5" s="91"/>
      <c r="AE5" s="176"/>
      <c r="AF5" s="91"/>
      <c r="AG5" s="178"/>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76"/>
      <c r="AD6" s="92"/>
      <c r="AE6" s="176"/>
      <c r="AF6" s="92"/>
      <c r="AG6" s="179"/>
    </row>
    <row r="7" spans="1:33" ht="27.6" customHeight="1" thickBot="1" x14ac:dyDescent="0.45">
      <c r="A7" s="133" t="s">
        <v>36</v>
      </c>
      <c r="B7" s="134">
        <f>(B10+B68+B121+B175)+(B156+B159+B162+B165+B168)</f>
        <v>568907554.664078</v>
      </c>
      <c r="C7" s="134">
        <f>C10+C68+C121+C150+C175</f>
        <v>160897318.27487773</v>
      </c>
      <c r="D7" s="134">
        <f>D10+D68+D121+D150+D175</f>
        <v>39106804.952374317</v>
      </c>
      <c r="E7" s="134">
        <f>E68</f>
        <v>2335378.1800000002</v>
      </c>
      <c r="F7" s="134">
        <f t="shared" ref="F7:AB7" si="0">F68</f>
        <v>1390856.2849999999</v>
      </c>
      <c r="G7" s="134">
        <f t="shared" si="0"/>
        <v>12836.678</v>
      </c>
      <c r="H7" s="134">
        <f t="shared" si="0"/>
        <v>33694.612999999998</v>
      </c>
      <c r="I7" s="134">
        <f t="shared" si="0"/>
        <v>282.21499999999997</v>
      </c>
      <c r="J7" s="134">
        <f t="shared" si="0"/>
        <v>7180111.0739999991</v>
      </c>
      <c r="K7" s="134">
        <f t="shared" si="0"/>
        <v>7849256.449</v>
      </c>
      <c r="L7" s="134">
        <f t="shared" si="0"/>
        <v>240784.68</v>
      </c>
      <c r="M7" s="134">
        <f t="shared" si="0"/>
        <v>486911.30900000001</v>
      </c>
      <c r="N7" s="134">
        <f t="shared" si="0"/>
        <v>482525.21500000003</v>
      </c>
      <c r="O7" s="134">
        <f t="shared" si="0"/>
        <v>37478.67</v>
      </c>
      <c r="P7" s="134">
        <f t="shared" si="0"/>
        <v>71819.692999999999</v>
      </c>
      <c r="Q7" s="134">
        <f t="shared" si="0"/>
        <v>47838.324000000001</v>
      </c>
      <c r="R7" s="134">
        <f t="shared" si="0"/>
        <v>1073.5150000000001</v>
      </c>
      <c r="S7" s="134">
        <f t="shared" si="0"/>
        <v>1293378.7660000001</v>
      </c>
      <c r="T7" s="134">
        <f t="shared" si="0"/>
        <v>1.7121329999999999</v>
      </c>
      <c r="U7" s="134">
        <f t="shared" si="0"/>
        <v>22749.306189559513</v>
      </c>
      <c r="V7" s="134">
        <f t="shared" si="0"/>
        <v>2508.3259977029493</v>
      </c>
      <c r="W7" s="134">
        <f t="shared" si="0"/>
        <v>225.08100000000002</v>
      </c>
      <c r="X7" s="134">
        <f t="shared" si="0"/>
        <v>2.529E-3</v>
      </c>
      <c r="Y7" s="134">
        <f t="shared" si="0"/>
        <v>80.530882970345999</v>
      </c>
      <c r="Z7" s="134">
        <f t="shared" si="0"/>
        <v>1.686E-3</v>
      </c>
      <c r="AA7" s="134">
        <f t="shared" si="0"/>
        <v>2272.4526112281001</v>
      </c>
      <c r="AB7" s="134">
        <f t="shared" si="0"/>
        <v>278664.09623532102</v>
      </c>
      <c r="AC7" s="139">
        <f>SUM(B7:AB7)</f>
        <v>790682405.06659472</v>
      </c>
      <c r="AE7" s="139">
        <f>AC7/1000</f>
        <v>790682.40506659471</v>
      </c>
      <c r="AF7" s="130"/>
      <c r="AG7" s="180">
        <f>AG10+AG68+AG121+AG150+AG175</f>
        <v>74935.64469390882</v>
      </c>
    </row>
    <row r="8" spans="1:33" ht="27.6" customHeight="1" thickBot="1" x14ac:dyDescent="0.45">
      <c r="A8" s="131" t="s">
        <v>37</v>
      </c>
      <c r="B8" s="132">
        <f>(B10+B68+B121+B175)</f>
        <v>543261071.51287794</v>
      </c>
      <c r="C8" s="132">
        <f t="shared" ref="C8:AB8" si="1">(C10+C68+C121+C175)</f>
        <v>160399687.48427773</v>
      </c>
      <c r="D8" s="132">
        <f t="shared" si="1"/>
        <v>38826050.580174319</v>
      </c>
      <c r="E8" s="132">
        <f t="shared" si="1"/>
        <v>2335378.1800000002</v>
      </c>
      <c r="F8" s="132">
        <f t="shared" si="1"/>
        <v>1390856.2849999999</v>
      </c>
      <c r="G8" s="132">
        <f t="shared" si="1"/>
        <v>12836.678</v>
      </c>
      <c r="H8" s="132">
        <f t="shared" si="1"/>
        <v>33694.612999999998</v>
      </c>
      <c r="I8" s="132">
        <f t="shared" si="1"/>
        <v>282.21499999999997</v>
      </c>
      <c r="J8" s="132">
        <f t="shared" si="1"/>
        <v>7180111.0739999991</v>
      </c>
      <c r="K8" s="132">
        <f t="shared" si="1"/>
        <v>7849256.449</v>
      </c>
      <c r="L8" s="132">
        <f t="shared" si="1"/>
        <v>240784.68</v>
      </c>
      <c r="M8" s="132">
        <f t="shared" si="1"/>
        <v>486911.30900000001</v>
      </c>
      <c r="N8" s="132">
        <f t="shared" si="1"/>
        <v>482525.21500000003</v>
      </c>
      <c r="O8" s="132">
        <f t="shared" si="1"/>
        <v>37478.67</v>
      </c>
      <c r="P8" s="132">
        <f t="shared" si="1"/>
        <v>71819.692999999999</v>
      </c>
      <c r="Q8" s="132">
        <f t="shared" si="1"/>
        <v>47838.324000000001</v>
      </c>
      <c r="R8" s="132">
        <f t="shared" si="1"/>
        <v>1073.5150000000001</v>
      </c>
      <c r="S8" s="132">
        <f t="shared" si="1"/>
        <v>1293378.7660000001</v>
      </c>
      <c r="T8" s="132">
        <f t="shared" si="1"/>
        <v>1.7121329999999999</v>
      </c>
      <c r="U8" s="132">
        <f t="shared" si="1"/>
        <v>22749.306189559513</v>
      </c>
      <c r="V8" s="132">
        <f t="shared" si="1"/>
        <v>2508.3259977029493</v>
      </c>
      <c r="W8" s="132">
        <f t="shared" si="1"/>
        <v>225.08100000000002</v>
      </c>
      <c r="X8" s="132">
        <f t="shared" si="1"/>
        <v>2.529E-3</v>
      </c>
      <c r="Y8" s="132">
        <f t="shared" si="1"/>
        <v>80.530882970345999</v>
      </c>
      <c r="Z8" s="132">
        <f t="shared" si="1"/>
        <v>1.686E-3</v>
      </c>
      <c r="AA8" s="132">
        <f t="shared" si="1"/>
        <v>2272.4526112281001</v>
      </c>
      <c r="AB8" s="132">
        <f t="shared" si="1"/>
        <v>278664.09623532102</v>
      </c>
      <c r="AC8" s="135">
        <f>SUM(B8:AB8)</f>
        <v>764257536.75259459</v>
      </c>
      <c r="AE8" s="135">
        <f>AC8/1000</f>
        <v>764257.53675259463</v>
      </c>
      <c r="AF8" s="130"/>
      <c r="AG8" s="181"/>
    </row>
    <row r="9" spans="1:33" ht="27.6" customHeight="1" thickBot="1" x14ac:dyDescent="0.45">
      <c r="A9" s="136" t="s">
        <v>38</v>
      </c>
      <c r="B9" s="137">
        <f>B10+B68+B121+B150+B175</f>
        <v>361179865.14377797</v>
      </c>
      <c r="C9" s="137">
        <f t="shared" ref="C9:D9" si="2">C10+C68+C121+C150+C175</f>
        <v>160897318.27487773</v>
      </c>
      <c r="D9" s="137">
        <f t="shared" si="2"/>
        <v>39106804.952374317</v>
      </c>
      <c r="E9" s="137">
        <f t="shared" ref="E9:AB9" si="3">E10+E68+E121+E175</f>
        <v>2335378.1800000002</v>
      </c>
      <c r="F9" s="137">
        <f t="shared" si="3"/>
        <v>1390856.2849999999</v>
      </c>
      <c r="G9" s="137">
        <f t="shared" si="3"/>
        <v>12836.678</v>
      </c>
      <c r="H9" s="137">
        <f t="shared" si="3"/>
        <v>33694.612999999998</v>
      </c>
      <c r="I9" s="137">
        <f t="shared" si="3"/>
        <v>282.21499999999997</v>
      </c>
      <c r="J9" s="137">
        <f t="shared" si="3"/>
        <v>7180111.0739999991</v>
      </c>
      <c r="K9" s="137">
        <f t="shared" si="3"/>
        <v>7849256.449</v>
      </c>
      <c r="L9" s="137">
        <f t="shared" si="3"/>
        <v>240784.68</v>
      </c>
      <c r="M9" s="137">
        <f t="shared" si="3"/>
        <v>486911.30900000001</v>
      </c>
      <c r="N9" s="137">
        <f t="shared" si="3"/>
        <v>482525.21500000003</v>
      </c>
      <c r="O9" s="137">
        <f t="shared" si="3"/>
        <v>37478.67</v>
      </c>
      <c r="P9" s="137">
        <f t="shared" si="3"/>
        <v>71819.692999999999</v>
      </c>
      <c r="Q9" s="137">
        <f t="shared" si="3"/>
        <v>47838.324000000001</v>
      </c>
      <c r="R9" s="137">
        <f t="shared" si="3"/>
        <v>1073.5150000000001</v>
      </c>
      <c r="S9" s="137">
        <f t="shared" si="3"/>
        <v>1293378.7660000001</v>
      </c>
      <c r="T9" s="137">
        <f t="shared" si="3"/>
        <v>1.7121329999999999</v>
      </c>
      <c r="U9" s="137">
        <f t="shared" si="3"/>
        <v>22749.306189559513</v>
      </c>
      <c r="V9" s="137">
        <f t="shared" si="3"/>
        <v>2508.3259977029493</v>
      </c>
      <c r="W9" s="137">
        <f t="shared" si="3"/>
        <v>225.08100000000002</v>
      </c>
      <c r="X9" s="137">
        <f t="shared" si="3"/>
        <v>2.529E-3</v>
      </c>
      <c r="Y9" s="137">
        <f t="shared" si="3"/>
        <v>80.530882970345999</v>
      </c>
      <c r="Z9" s="137">
        <f t="shared" si="3"/>
        <v>1.686E-3</v>
      </c>
      <c r="AA9" s="137">
        <f t="shared" si="3"/>
        <v>2272.4526112281001</v>
      </c>
      <c r="AB9" s="137">
        <f t="shared" si="3"/>
        <v>278664.09623532102</v>
      </c>
      <c r="AC9" s="138">
        <f>SUM(B9:AB9)</f>
        <v>582954715.54629457</v>
      </c>
      <c r="AE9" s="138">
        <f t="shared" ref="AE9:AE72" si="4">AC9/1000</f>
        <v>582954.71554629458</v>
      </c>
      <c r="AF9" s="129"/>
      <c r="AG9" s="182"/>
    </row>
    <row r="10" spans="1:33" ht="22.2" customHeight="1" x14ac:dyDescent="0.4">
      <c r="A10" s="32" t="s">
        <v>39</v>
      </c>
      <c r="B10" s="33">
        <f>B11+B53</f>
        <v>487862938.51814795</v>
      </c>
      <c r="C10" s="33">
        <f>C11+C53</f>
        <v>17023038.594613608</v>
      </c>
      <c r="D10" s="33">
        <f>D11+D53</f>
        <v>2852365.7147582634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507738342.82751977</v>
      </c>
      <c r="AD10" s="41"/>
      <c r="AE10" s="57">
        <f t="shared" si="4"/>
        <v>507738.34282751975</v>
      </c>
      <c r="AF10" s="128"/>
      <c r="AG10" s="36">
        <f>AG11+AG53</f>
        <v>67062.196164908819</v>
      </c>
    </row>
    <row r="11" spans="1:33" ht="22.2" customHeight="1" x14ac:dyDescent="0.4">
      <c r="A11" s="20" t="s">
        <v>40</v>
      </c>
      <c r="B11" s="37">
        <f>B12+B18+B43+B49</f>
        <v>476825717.77814794</v>
      </c>
      <c r="C11" s="37">
        <f>C12+C18+C43+C49</f>
        <v>1109933.2846136072</v>
      </c>
      <c r="D11" s="37">
        <f>D12+D18+D43+D49</f>
        <v>2835744.2747582635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480771395.33751976</v>
      </c>
      <c r="AD11" s="41"/>
      <c r="AE11" s="37">
        <f t="shared" si="4"/>
        <v>480771.39533751976</v>
      </c>
      <c r="AF11" s="128"/>
      <c r="AG11" s="37">
        <f>AG12+AG18+AG43+AG49</f>
        <v>61391.471796100894</v>
      </c>
    </row>
    <row r="12" spans="1:33" ht="22.2" customHeight="1" x14ac:dyDescent="0.4">
      <c r="A12" s="20" t="s">
        <v>41</v>
      </c>
      <c r="B12" s="37">
        <f>B13+B14+B15</f>
        <v>198933743.43765044</v>
      </c>
      <c r="C12" s="37">
        <f>C13+C14+C15</f>
        <v>154682.05976470138</v>
      </c>
      <c r="D12" s="37">
        <f>D13+D14+D15</f>
        <v>300036.06718127365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199388461.56459638</v>
      </c>
      <c r="AD12" s="41"/>
      <c r="AE12" s="37">
        <f t="shared" si="4"/>
        <v>199388.46156459639</v>
      </c>
      <c r="AF12" s="128"/>
      <c r="AG12" s="37">
        <f>SUM(AG13:AG15)</f>
        <v>8168.9346413056819</v>
      </c>
    </row>
    <row r="13" spans="1:33" ht="22.2" customHeight="1" x14ac:dyDescent="0.4">
      <c r="A13" s="21" t="s">
        <v>42</v>
      </c>
      <c r="B13" s="44">
        <v>167973687.35479799</v>
      </c>
      <c r="C13" s="44">
        <v>138100.72217158799</v>
      </c>
      <c r="D13" s="44">
        <v>280456.83184895897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168392244.90881851</v>
      </c>
      <c r="AD13" s="41"/>
      <c r="AE13" s="52">
        <f t="shared" si="4"/>
        <v>168392.24490881851</v>
      </c>
      <c r="AF13" s="128"/>
      <c r="AG13" s="44">
        <v>7121.6350314691799</v>
      </c>
    </row>
    <row r="14" spans="1:33" ht="22.2" customHeight="1" x14ac:dyDescent="0.4">
      <c r="A14" s="21" t="s">
        <v>43</v>
      </c>
      <c r="B14" s="44">
        <v>9217345.6104780305</v>
      </c>
      <c r="C14" s="44">
        <v>6180.2982141187804</v>
      </c>
      <c r="D14" s="44">
        <v>8841.19617035999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9232367.1048625093</v>
      </c>
      <c r="AD14" s="41"/>
      <c r="AE14" s="52">
        <f t="shared" si="4"/>
        <v>9232.3671048625092</v>
      </c>
      <c r="AF14" s="128"/>
      <c r="AG14" s="44">
        <v>742.01871018546501</v>
      </c>
    </row>
    <row r="15" spans="1:33" ht="22.2" customHeight="1" x14ac:dyDescent="0.4">
      <c r="A15" s="21" t="s">
        <v>44</v>
      </c>
      <c r="B15" s="49">
        <f>B16+B17</f>
        <v>21742710.472374402</v>
      </c>
      <c r="C15" s="49">
        <f t="shared" ref="C15:D15" si="5">C16+C17</f>
        <v>10401.039378994599</v>
      </c>
      <c r="D15" s="49">
        <f t="shared" si="5"/>
        <v>10738.039161954701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21763849.550915349</v>
      </c>
      <c r="AD15" s="41"/>
      <c r="AE15" s="52">
        <f t="shared" si="4"/>
        <v>21763.849550915351</v>
      </c>
      <c r="AF15" s="128"/>
      <c r="AG15" s="44">
        <v>305.28089965103698</v>
      </c>
    </row>
    <row r="16" spans="1:33" ht="22.2" customHeight="1" x14ac:dyDescent="0.4">
      <c r="A16" s="98" t="s">
        <v>45</v>
      </c>
      <c r="B16" s="44">
        <v>1123151.9709999999</v>
      </c>
      <c r="C16" s="44">
        <v>5.6159999999999997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1123157.5869999998</v>
      </c>
      <c r="AD16" s="41"/>
      <c r="AE16" s="52">
        <f t="shared" si="4"/>
        <v>1123.1575869999999</v>
      </c>
      <c r="AF16" s="128"/>
      <c r="AG16" s="73"/>
    </row>
    <row r="17" spans="1:33" ht="22.2" customHeight="1" x14ac:dyDescent="0.4">
      <c r="A17" s="99" t="s">
        <v>46</v>
      </c>
      <c r="B17" s="44">
        <v>20619558.501374401</v>
      </c>
      <c r="C17" s="44">
        <v>10395.423378994599</v>
      </c>
      <c r="D17" s="44">
        <v>10738.039161954701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20640691.963915348</v>
      </c>
      <c r="AD17" s="41"/>
      <c r="AE17" s="52">
        <f t="shared" si="4"/>
        <v>20640.691963915349</v>
      </c>
      <c r="AF17" s="128"/>
      <c r="AG17" s="44">
        <v>305.28089965103698</v>
      </c>
    </row>
    <row r="18" spans="1:33" ht="22.2" customHeight="1" x14ac:dyDescent="0.4">
      <c r="A18" s="20" t="s">
        <v>47</v>
      </c>
      <c r="B18" s="37">
        <f>B19+B20+B21+B25+B26+B33+B35+B37+B39</f>
        <v>61449964.09849751</v>
      </c>
      <c r="C18" s="37">
        <f>C19+C20+C21+C25+C26+C33+C35+C37+C39</f>
        <v>104572.1692489058</v>
      </c>
      <c r="D18" s="37">
        <f>D19+D20+D21+D25+D26+D33+D35+D37+D39</f>
        <v>139645.53697699012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61694181.804723412</v>
      </c>
      <c r="AD18" s="110"/>
      <c r="AE18" s="37">
        <f t="shared" si="4"/>
        <v>61694.181804723412</v>
      </c>
      <c r="AF18" s="128"/>
      <c r="AG18" s="37">
        <f>SUM(AG19,AG20,AG21,AG25,AG26,AG32,AG33,AG34,AG35,AG36,AG37,AG38,AG39)</f>
        <v>724.94479889521165</v>
      </c>
    </row>
    <row r="19" spans="1:33" ht="22.2" customHeight="1" x14ac:dyDescent="0.4">
      <c r="A19" s="100" t="s">
        <v>48</v>
      </c>
      <c r="B19" s="44">
        <v>6404560.0505274506</v>
      </c>
      <c r="C19" s="44">
        <v>3143.6599115505837</v>
      </c>
      <c r="D19" s="44">
        <v>3041.0429730312617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6410744.7534120325</v>
      </c>
      <c r="AD19" s="110"/>
      <c r="AE19" s="44">
        <f t="shared" si="4"/>
        <v>6410.7447534120329</v>
      </c>
      <c r="AF19" s="128"/>
      <c r="AG19" s="44">
        <v>19.859558286602194</v>
      </c>
    </row>
    <row r="20" spans="1:33" ht="22.2" customHeight="1" x14ac:dyDescent="0.4">
      <c r="A20" s="100" t="s">
        <v>49</v>
      </c>
      <c r="B20" s="44">
        <v>1656766.0829111538</v>
      </c>
      <c r="C20" s="44">
        <v>954.05932780058799</v>
      </c>
      <c r="D20" s="44">
        <v>1203.6608124712275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1658923.8030514256</v>
      </c>
      <c r="AD20" s="110"/>
      <c r="AE20" s="52">
        <f t="shared" si="4"/>
        <v>1658.9238030514257</v>
      </c>
      <c r="AF20" s="128"/>
      <c r="AG20" s="44">
        <v>6.7229203269506836</v>
      </c>
    </row>
    <row r="21" spans="1:33" ht="22.2" customHeight="1" x14ac:dyDescent="0.4">
      <c r="A21" s="100" t="s">
        <v>50</v>
      </c>
      <c r="B21" s="44">
        <f>SUM(B22:B24)</f>
        <v>6010781.8301148424</v>
      </c>
      <c r="C21" s="44">
        <f>SUM(C22:C24)</f>
        <v>3158.1549414707806</v>
      </c>
      <c r="D21" s="44">
        <f>SUM(D22:D24)</f>
        <v>3395.7590167486496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6017335.7440730613</v>
      </c>
      <c r="AD21" s="110"/>
      <c r="AE21" s="52">
        <f t="shared" si="4"/>
        <v>6017.3357440730615</v>
      </c>
      <c r="AF21" s="128"/>
      <c r="AG21" s="44">
        <v>19.879542251128651</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5980749.9635505229</v>
      </c>
      <c r="C23" s="44">
        <v>3135.7229617066291</v>
      </c>
      <c r="D23" s="44">
        <v>3361.6724836236481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5987247.3589958539</v>
      </c>
      <c r="AD23" s="110"/>
      <c r="AE23" s="52">
        <f t="shared" si="4"/>
        <v>5987.2473589958536</v>
      </c>
      <c r="AF23" s="128"/>
      <c r="AG23" s="44">
        <v>19.77640715634606</v>
      </c>
    </row>
    <row r="24" spans="1:33" ht="22.2" customHeight="1" x14ac:dyDescent="0.4">
      <c r="A24" s="99" t="s">
        <v>53</v>
      </c>
      <c r="B24" s="44">
        <v>30031.866564319851</v>
      </c>
      <c r="C24" s="44">
        <v>22.43197976415167</v>
      </c>
      <c r="D24" s="44">
        <v>34.086533125001374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30088.385077209005</v>
      </c>
      <c r="AD24" s="110"/>
      <c r="AE24" s="52">
        <f t="shared" si="4"/>
        <v>30.088385077209004</v>
      </c>
      <c r="AF24" s="128"/>
      <c r="AG24" s="44">
        <v>0.10313509478258892</v>
      </c>
    </row>
    <row r="25" spans="1:33" ht="22.2" customHeight="1" x14ac:dyDescent="0.4">
      <c r="A25" s="100" t="s">
        <v>54</v>
      </c>
      <c r="B25" s="44">
        <v>2629626.7488500797</v>
      </c>
      <c r="C25" s="44">
        <v>1463.5956800656372</v>
      </c>
      <c r="D25" s="44">
        <v>1708.6789655480816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2632799.0234956932</v>
      </c>
      <c r="AD25" s="110"/>
      <c r="AE25" s="52">
        <f t="shared" si="4"/>
        <v>2632.7990234956933</v>
      </c>
      <c r="AF25" s="128"/>
      <c r="AG25" s="44">
        <v>17.138966457222168</v>
      </c>
    </row>
    <row r="26" spans="1:33" ht="22.2" customHeight="1" x14ac:dyDescent="0.4">
      <c r="A26" s="100" t="s">
        <v>55</v>
      </c>
      <c r="B26" s="44">
        <f>SUM(B27:B31)</f>
        <v>650457.68773078453</v>
      </c>
      <c r="C26" s="44">
        <f>SUM(C27:C31)</f>
        <v>29165.829669441755</v>
      </c>
      <c r="D26" s="44">
        <f>SUM(D27:D31)</f>
        <v>37041.096249233226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716664.61364945956</v>
      </c>
      <c r="AD26" s="110"/>
      <c r="AE26" s="52">
        <f t="shared" si="4"/>
        <v>716.66461364945951</v>
      </c>
      <c r="AF26" s="128"/>
      <c r="AG26" s="44">
        <v>375.07454258707003</v>
      </c>
    </row>
    <row r="27" spans="1:33" ht="22.2" customHeight="1" x14ac:dyDescent="0.4">
      <c r="A27" s="99" t="s">
        <v>56</v>
      </c>
      <c r="B27" s="44">
        <v>0</v>
      </c>
      <c r="C27" s="44">
        <v>28606.70682029067</v>
      </c>
      <c r="D27" s="44">
        <v>36098.939558938226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64705.6463792289</v>
      </c>
      <c r="AD27" s="110"/>
      <c r="AE27" s="52">
        <f t="shared" si="4"/>
        <v>64.705646379228895</v>
      </c>
      <c r="AF27" s="128"/>
      <c r="AG27" s="44">
        <v>371.54663263020387</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623399.88163001789</v>
      </c>
      <c r="C29" s="44">
        <v>530.43473241862932</v>
      </c>
      <c r="D29" s="44">
        <v>887.85418362285327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624818.17054605938</v>
      </c>
      <c r="AD29" s="110"/>
      <c r="AE29" s="52">
        <f t="shared" si="4"/>
        <v>624.81817054605938</v>
      </c>
      <c r="AF29" s="128"/>
      <c r="AG29" s="44">
        <v>2.0932489935358749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27057.806100766684</v>
      </c>
      <c r="C31" s="44">
        <v>28.68811673245337</v>
      </c>
      <c r="D31" s="44">
        <v>54.302506672143871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27140.796724171283</v>
      </c>
      <c r="AD31" s="110"/>
      <c r="AE31" s="52">
        <f t="shared" si="4"/>
        <v>27.140796724171285</v>
      </c>
      <c r="AF31" s="128"/>
      <c r="AG31" s="44">
        <v>1.4346609633302505</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568954.21570302628</v>
      </c>
      <c r="C33" s="44">
        <v>336.30308994483624</v>
      </c>
      <c r="D33" s="44">
        <v>421.45936207269352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569711.97815504379</v>
      </c>
      <c r="AD33" s="110"/>
      <c r="AE33" s="52">
        <f t="shared" si="4"/>
        <v>569.71197815504377</v>
      </c>
      <c r="AF33" s="128"/>
      <c r="AG33" s="44">
        <v>1.7100900799820349</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7519959.1088737817</v>
      </c>
      <c r="C35" s="44">
        <v>8310.2722418214762</v>
      </c>
      <c r="D35" s="44">
        <v>13698.906451128885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7541968.2875667317</v>
      </c>
      <c r="AD35" s="110"/>
      <c r="AE35" s="52">
        <f t="shared" si="4"/>
        <v>7541.9682875667313</v>
      </c>
      <c r="AF35" s="128"/>
      <c r="AG35" s="44">
        <v>40.95625876082444</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453081.04916816845</v>
      </c>
      <c r="C37" s="44">
        <v>522.42149437989679</v>
      </c>
      <c r="D37" s="44">
        <v>988.86925721909029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454592.3399197674</v>
      </c>
      <c r="AD37" s="110"/>
      <c r="AE37" s="52">
        <f t="shared" si="4"/>
        <v>454.59233991976743</v>
      </c>
      <c r="AF37" s="128"/>
      <c r="AG37" s="44">
        <v>2.0076888186417006</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35555777.324618228</v>
      </c>
      <c r="C39" s="44">
        <f>SUM(C40:C42)</f>
        <v>57517.872892430256</v>
      </c>
      <c r="D39" s="44">
        <f>SUM(D40:D42)</f>
        <v>78146.063889537007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35691441.261400193</v>
      </c>
      <c r="AD39" s="110"/>
      <c r="AE39" s="52">
        <f t="shared" si="4"/>
        <v>35691.441261400192</v>
      </c>
      <c r="AF39" s="128"/>
      <c r="AG39" s="44">
        <v>241.59523132678979</v>
      </c>
    </row>
    <row r="40" spans="1:33" ht="22.2" customHeight="1" x14ac:dyDescent="0.4">
      <c r="A40" s="99" t="s">
        <v>69</v>
      </c>
      <c r="B40" s="44">
        <v>2719612.9305426949</v>
      </c>
      <c r="C40" s="44">
        <v>1332.8517253188447</v>
      </c>
      <c r="D40" s="44">
        <v>1286.7259086392419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2722232.5081766532</v>
      </c>
      <c r="AD40" s="110"/>
      <c r="AE40" s="52">
        <f t="shared" si="4"/>
        <v>2722.232508176653</v>
      </c>
      <c r="AF40" s="128"/>
      <c r="AG40" s="44">
        <v>8.1842766728828789</v>
      </c>
    </row>
    <row r="41" spans="1:33" ht="22.2" customHeight="1" x14ac:dyDescent="0.4">
      <c r="A41" s="99" t="s">
        <v>70</v>
      </c>
      <c r="B41" s="44">
        <v>569071.556286023</v>
      </c>
      <c r="C41" s="44">
        <v>405.7802211855448</v>
      </c>
      <c r="D41" s="44">
        <v>597.552494761552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570074.88900197006</v>
      </c>
      <c r="AD41" s="110"/>
      <c r="AE41" s="52">
        <f t="shared" si="4"/>
        <v>570.07488900197006</v>
      </c>
      <c r="AF41" s="128"/>
      <c r="AG41" s="44">
        <v>2.8701240244552833</v>
      </c>
    </row>
    <row r="42" spans="1:33" ht="22.2" customHeight="1" x14ac:dyDescent="0.4">
      <c r="A42" s="99" t="s">
        <v>71</v>
      </c>
      <c r="B42" s="44">
        <v>32267092.837789509</v>
      </c>
      <c r="C42" s="44">
        <v>55779.240945925863</v>
      </c>
      <c r="D42" s="44">
        <v>76261.785486136214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32399133.864221569</v>
      </c>
      <c r="AD42" s="110"/>
      <c r="AE42" s="52">
        <f t="shared" si="4"/>
        <v>32399.133864221571</v>
      </c>
      <c r="AF42" s="128"/>
      <c r="AG42" s="44">
        <v>230.54083062945162</v>
      </c>
    </row>
    <row r="43" spans="1:33" ht="22.2" customHeight="1" x14ac:dyDescent="0.4">
      <c r="A43" s="20" t="s">
        <v>72</v>
      </c>
      <c r="B43" s="37">
        <f>SUM(B44:B48)</f>
        <v>181275024.12199998</v>
      </c>
      <c r="C43" s="37">
        <f>SUM(C44:C48)</f>
        <v>483485.68560000003</v>
      </c>
      <c r="D43" s="37">
        <f>SUM(D44:D48)</f>
        <v>2018642.4405999999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183777152.2482</v>
      </c>
      <c r="AD43" s="41"/>
      <c r="AE43" s="37">
        <f t="shared" si="4"/>
        <v>183777.1522482</v>
      </c>
      <c r="AF43" s="128"/>
      <c r="AG43" s="37">
        <f>SUM(AG44:AG48)</f>
        <v>14534.262355899999</v>
      </c>
    </row>
    <row r="44" spans="1:33" ht="22.2" customHeight="1" x14ac:dyDescent="0.4">
      <c r="A44" s="100" t="s">
        <v>73</v>
      </c>
      <c r="B44" s="44">
        <v>8275335.3729999997</v>
      </c>
      <c r="C44" s="44">
        <v>1595.4866</v>
      </c>
      <c r="D44" s="44">
        <v>60400.563800000004</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8337331.4233999997</v>
      </c>
      <c r="AD44" s="41"/>
      <c r="AE44" s="52">
        <f t="shared" si="4"/>
        <v>8337.331423399999</v>
      </c>
      <c r="AF44" s="128"/>
      <c r="AG44" s="44">
        <v>117.06985589999999</v>
      </c>
    </row>
    <row r="45" spans="1:33" ht="22.2" customHeight="1" x14ac:dyDescent="0.4">
      <c r="A45" s="100" t="s">
        <v>74</v>
      </c>
      <c r="B45" s="44">
        <v>168635667.22999999</v>
      </c>
      <c r="C45" s="44">
        <v>472595.27510000003</v>
      </c>
      <c r="D45" s="44">
        <v>1715101.9593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170823364.46439999</v>
      </c>
      <c r="AD45" s="41"/>
      <c r="AE45" s="52">
        <f t="shared" si="4"/>
        <v>170823.36446439999</v>
      </c>
      <c r="AF45" s="128"/>
      <c r="AG45" s="44">
        <v>14251.4</v>
      </c>
    </row>
    <row r="46" spans="1:33" ht="22.2" customHeight="1" x14ac:dyDescent="0.4">
      <c r="A46" s="100" t="s">
        <v>75</v>
      </c>
      <c r="B46" s="44">
        <v>2186145.87</v>
      </c>
      <c r="C46" s="44">
        <v>3486.99</v>
      </c>
      <c r="D46" s="44">
        <v>227434.79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2417067.6500000004</v>
      </c>
      <c r="AD46" s="41"/>
      <c r="AE46" s="52">
        <f t="shared" si="4"/>
        <v>2417.0676500000004</v>
      </c>
      <c r="AF46" s="128"/>
      <c r="AG46" s="44">
        <v>51.55</v>
      </c>
    </row>
    <row r="47" spans="1:33" ht="22.2" customHeight="1" x14ac:dyDescent="0.4">
      <c r="A47" s="100" t="s">
        <v>76</v>
      </c>
      <c r="B47" s="44">
        <v>2177875.6490000002</v>
      </c>
      <c r="C47" s="44">
        <v>5807.9339</v>
      </c>
      <c r="D47" s="44">
        <v>15705.127500000001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2199388.7104000002</v>
      </c>
      <c r="AD47" s="41"/>
      <c r="AE47" s="52">
        <f t="shared" si="4"/>
        <v>2199.3887104</v>
      </c>
      <c r="AF47" s="128"/>
      <c r="AG47" s="44">
        <v>114.24250000000001</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35166986.120000005</v>
      </c>
      <c r="C49" s="37">
        <f>SUM(C50:C52)</f>
        <v>367193.37</v>
      </c>
      <c r="D49" s="37">
        <f>SUM(D50:D52)</f>
        <v>377420.23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35911599.719999999</v>
      </c>
      <c r="AD49" s="41"/>
      <c r="AE49" s="37">
        <f t="shared" si="4"/>
        <v>35911.599719999998</v>
      </c>
      <c r="AF49" s="128"/>
      <c r="AG49" s="37">
        <f>SUM(AG50:AG52)</f>
        <v>37963.33</v>
      </c>
    </row>
    <row r="50" spans="1:33" ht="22.2" customHeight="1" x14ac:dyDescent="0.4">
      <c r="A50" s="100" t="s">
        <v>79</v>
      </c>
      <c r="B50" s="44">
        <v>4993712.54</v>
      </c>
      <c r="C50" s="44">
        <v>11112.86</v>
      </c>
      <c r="D50" s="44">
        <v>2236.19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5007061.5900000008</v>
      </c>
      <c r="AD50" s="41"/>
      <c r="AE50" s="52">
        <f t="shared" si="4"/>
        <v>5007.0615900000012</v>
      </c>
      <c r="AF50" s="128"/>
      <c r="AG50" s="44">
        <v>2373.25</v>
      </c>
    </row>
    <row r="51" spans="1:33" ht="22.2" customHeight="1" x14ac:dyDescent="0.4">
      <c r="A51" s="100" t="s">
        <v>80</v>
      </c>
      <c r="B51" s="44">
        <v>18738817.260000002</v>
      </c>
      <c r="C51" s="44">
        <v>312701.27</v>
      </c>
      <c r="D51" s="44">
        <v>350824.55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19402343.080000002</v>
      </c>
      <c r="AD51" s="41"/>
      <c r="AE51" s="52">
        <f t="shared" si="4"/>
        <v>19402.343080000002</v>
      </c>
      <c r="AF51" s="128"/>
      <c r="AG51" s="44">
        <v>35318.47</v>
      </c>
    </row>
    <row r="52" spans="1:33" ht="22.2" customHeight="1" x14ac:dyDescent="0.4">
      <c r="A52" s="100" t="s">
        <v>81</v>
      </c>
      <c r="B52" s="44">
        <v>11434456.32</v>
      </c>
      <c r="C52" s="44">
        <v>43379.24</v>
      </c>
      <c r="D52" s="44">
        <v>24359.49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11502195.050000001</v>
      </c>
      <c r="AD52" s="41"/>
      <c r="AE52" s="52">
        <f t="shared" si="4"/>
        <v>11502.19505</v>
      </c>
      <c r="AF52" s="128"/>
      <c r="AG52" s="44">
        <v>271.61</v>
      </c>
    </row>
    <row r="53" spans="1:33" ht="22.2" customHeight="1" x14ac:dyDescent="0.4">
      <c r="A53" s="13" t="s">
        <v>82</v>
      </c>
      <c r="B53" s="37">
        <f>B54+B59</f>
        <v>11037220.74</v>
      </c>
      <c r="C53" s="37">
        <f>C54+C59</f>
        <v>15913105.310000002</v>
      </c>
      <c r="D53" s="37">
        <f>D54+D59</f>
        <v>16621.439999999999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26966947.490000002</v>
      </c>
      <c r="AD53" s="41"/>
      <c r="AE53" s="37">
        <f t="shared" si="4"/>
        <v>26966.947490000002</v>
      </c>
      <c r="AF53" s="128"/>
      <c r="AG53" s="37">
        <f>AG54+AG59</f>
        <v>5670.7243688079297</v>
      </c>
    </row>
    <row r="54" spans="1:33" ht="22.2" customHeight="1" x14ac:dyDescent="0.4">
      <c r="A54" s="20" t="s">
        <v>83</v>
      </c>
      <c r="B54" s="37">
        <f>B55+B58</f>
        <v>60930.52</v>
      </c>
      <c r="C54" s="37">
        <f>C55+C58</f>
        <v>2143106.37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2204036.89</v>
      </c>
      <c r="AD54" s="41"/>
      <c r="AE54" s="37">
        <f t="shared" si="4"/>
        <v>2204.0368900000003</v>
      </c>
      <c r="AF54" s="128"/>
      <c r="AG54" s="76"/>
    </row>
    <row r="55" spans="1:33" ht="22.2" customHeight="1" x14ac:dyDescent="0.4">
      <c r="A55" s="101" t="s">
        <v>84</v>
      </c>
      <c r="B55" s="52">
        <f>B56+B57</f>
        <v>60930.52</v>
      </c>
      <c r="C55" s="52">
        <f>C56+C57</f>
        <v>2143106.37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2204036.89</v>
      </c>
      <c r="AD55" s="41"/>
      <c r="AE55" s="44">
        <f t="shared" si="4"/>
        <v>2204.0368900000003</v>
      </c>
      <c r="AF55" s="128"/>
      <c r="AG55" s="73"/>
    </row>
    <row r="56" spans="1:33" ht="22.2" customHeight="1" x14ac:dyDescent="0.4">
      <c r="A56" s="100" t="s">
        <v>85</v>
      </c>
      <c r="B56" s="44">
        <v>58027.46</v>
      </c>
      <c r="C56" s="44">
        <v>2055656.06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2113683.52</v>
      </c>
      <c r="AD56" s="41"/>
      <c r="AE56" s="52">
        <f t="shared" si="4"/>
        <v>2113.68352</v>
      </c>
      <c r="AF56" s="128"/>
      <c r="AG56" s="73"/>
    </row>
    <row r="57" spans="1:33" ht="22.2" customHeight="1" x14ac:dyDescent="0.4">
      <c r="A57" s="100" t="s">
        <v>86</v>
      </c>
      <c r="B57" s="44">
        <v>2903.06</v>
      </c>
      <c r="C57" s="159">
        <v>87450.31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90353.37</v>
      </c>
      <c r="AD57" s="41"/>
      <c r="AE57" s="52">
        <f t="shared" si="4"/>
        <v>90.353369999999998</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10976290.220000001</v>
      </c>
      <c r="C59" s="37">
        <f t="shared" ref="C59:D59" si="8">C60+C64</f>
        <v>13769998.940000001</v>
      </c>
      <c r="D59" s="37">
        <f t="shared" si="8"/>
        <v>16621.439999999999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24762910.600000001</v>
      </c>
      <c r="AD59" s="41"/>
      <c r="AE59" s="37">
        <f t="shared" si="4"/>
        <v>24762.910600000003</v>
      </c>
      <c r="AF59" s="128"/>
      <c r="AG59" s="53">
        <f>SUM(AG60:AG66)</f>
        <v>5670.7243688079297</v>
      </c>
    </row>
    <row r="60" spans="1:33" ht="22.2" customHeight="1" x14ac:dyDescent="0.4">
      <c r="A60" s="100" t="s">
        <v>89</v>
      </c>
      <c r="B60" s="49">
        <f>SUM(B61,B62,B63)</f>
        <v>8680012.3300000001</v>
      </c>
      <c r="C60" s="49">
        <f t="shared" ref="C60:D60" si="9">SUM(C61,C62,C63)</f>
        <v>7466096.6299999999</v>
      </c>
      <c r="D60" s="49">
        <f t="shared" si="9"/>
        <v>16581.16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16162690.120000001</v>
      </c>
      <c r="AD60" s="41"/>
      <c r="AE60" s="52">
        <f t="shared" si="4"/>
        <v>16162.690120000001</v>
      </c>
      <c r="AF60" s="128"/>
      <c r="AG60" s="111"/>
    </row>
    <row r="61" spans="1:33" ht="22.2" customHeight="1" x14ac:dyDescent="0.4">
      <c r="A61" s="102" t="s">
        <v>90</v>
      </c>
      <c r="B61" s="44">
        <v>3047629.35</v>
      </c>
      <c r="C61" s="44">
        <v>4040928.13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7088557.4800000004</v>
      </c>
      <c r="AD61" s="41"/>
      <c r="AE61" s="52">
        <f t="shared" si="4"/>
        <v>7088.5574800000004</v>
      </c>
      <c r="AF61" s="128"/>
      <c r="AG61" s="109"/>
    </row>
    <row r="62" spans="1:33" ht="22.2" customHeight="1" x14ac:dyDescent="0.4">
      <c r="A62" s="102" t="s">
        <v>91</v>
      </c>
      <c r="B62" s="44">
        <v>5598600.6200000001</v>
      </c>
      <c r="C62" s="44">
        <v>3306307.96</v>
      </c>
      <c r="D62" s="44">
        <v>16581.16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8921489.7400000002</v>
      </c>
      <c r="AD62" s="41"/>
      <c r="AE62" s="52">
        <f t="shared" si="4"/>
        <v>8921.4897400000009</v>
      </c>
      <c r="AF62" s="128"/>
      <c r="AG62" s="44">
        <v>5670.7243688079297</v>
      </c>
    </row>
    <row r="63" spans="1:33" ht="22.2" customHeight="1" x14ac:dyDescent="0.4">
      <c r="A63" s="102" t="s">
        <v>92</v>
      </c>
      <c r="B63" s="44">
        <v>33782.36</v>
      </c>
      <c r="C63" s="44">
        <v>118860.54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152642.9</v>
      </c>
      <c r="AD63" s="41"/>
      <c r="AE63" s="52">
        <f t="shared" si="4"/>
        <v>152.6429</v>
      </c>
      <c r="AF63" s="128"/>
      <c r="AG63" s="109"/>
    </row>
    <row r="64" spans="1:33" ht="22.2" customHeight="1" x14ac:dyDescent="0.4">
      <c r="A64" s="103" t="s">
        <v>93</v>
      </c>
      <c r="B64" s="49">
        <f>SUM(B65,B66,B67)</f>
        <v>2296277.89</v>
      </c>
      <c r="C64" s="49">
        <f t="shared" ref="C64:D64" si="11">SUM(C65,C66,C67)</f>
        <v>6303902.3100000005</v>
      </c>
      <c r="D64" s="49">
        <f t="shared" si="11"/>
        <v>40.28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8600220.4800000004</v>
      </c>
      <c r="AD64" s="41"/>
      <c r="AE64" s="52">
        <f t="shared" si="4"/>
        <v>8600.22048</v>
      </c>
      <c r="AF64" s="128"/>
      <c r="AG64" s="109"/>
    </row>
    <row r="65" spans="1:33" ht="22.2" customHeight="1" x14ac:dyDescent="0.4">
      <c r="A65" s="102" t="s">
        <v>94</v>
      </c>
      <c r="B65" s="44">
        <v>1623910.24</v>
      </c>
      <c r="C65" s="44">
        <v>2698549.81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4322460.05</v>
      </c>
      <c r="AD65" s="41"/>
      <c r="AE65" s="52">
        <f t="shared" si="4"/>
        <v>4322.4600499999997</v>
      </c>
      <c r="AF65" s="128"/>
      <c r="AG65" s="112"/>
    </row>
    <row r="66" spans="1:33" ht="22.2" customHeight="1" x14ac:dyDescent="0.4">
      <c r="A66" s="102" t="s">
        <v>95</v>
      </c>
      <c r="B66" s="44">
        <v>669339.91</v>
      </c>
      <c r="C66" s="44">
        <v>853587.88</v>
      </c>
      <c r="D66" s="44">
        <v>40.28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1522968.07</v>
      </c>
      <c r="AD66" s="41"/>
      <c r="AE66" s="52">
        <f t="shared" si="4"/>
        <v>1522.9680700000001</v>
      </c>
      <c r="AF66" s="128"/>
      <c r="AG66" s="112"/>
    </row>
    <row r="67" spans="1:33" ht="22.2" customHeight="1" thickBot="1" x14ac:dyDescent="0.45">
      <c r="A67" s="102" t="s">
        <v>96</v>
      </c>
      <c r="B67" s="44">
        <v>3027.74</v>
      </c>
      <c r="C67" s="44">
        <v>2751764.62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2754792.3600000003</v>
      </c>
      <c r="AD67" s="41"/>
      <c r="AE67" s="116">
        <f t="shared" si="4"/>
        <v>2754.7923600000004</v>
      </c>
      <c r="AF67" s="128"/>
      <c r="AG67" s="112"/>
    </row>
    <row r="68" spans="1:33" ht="22.2" customHeight="1" x14ac:dyDescent="0.4">
      <c r="A68" s="12" t="s">
        <v>97</v>
      </c>
      <c r="B68" s="33">
        <f>B69+B75+B86+B94+B99+B105+B112+B117</f>
        <v>52421907.356730044</v>
      </c>
      <c r="C68" s="33">
        <f t="shared" ref="C68:AC68" si="12">C69+C75+C86+C94+C99+C105+C112+C117</f>
        <v>278853.10124000005</v>
      </c>
      <c r="D68" s="33">
        <f t="shared" si="12"/>
        <v>727228.4716020585</v>
      </c>
      <c r="E68" s="34">
        <f t="shared" si="12"/>
        <v>2335378.1800000002</v>
      </c>
      <c r="F68" s="34">
        <f t="shared" si="12"/>
        <v>1390856.2849999999</v>
      </c>
      <c r="G68" s="34">
        <f t="shared" si="12"/>
        <v>12836.678</v>
      </c>
      <c r="H68" s="34">
        <f t="shared" si="12"/>
        <v>33694.612999999998</v>
      </c>
      <c r="I68" s="34">
        <f t="shared" si="12"/>
        <v>282.21499999999997</v>
      </c>
      <c r="J68" s="34">
        <f t="shared" si="12"/>
        <v>7180111.0739999991</v>
      </c>
      <c r="K68" s="34">
        <f t="shared" si="12"/>
        <v>7849256.449</v>
      </c>
      <c r="L68" s="34">
        <f t="shared" si="12"/>
        <v>240784.68</v>
      </c>
      <c r="M68" s="34">
        <f t="shared" si="12"/>
        <v>486911.30900000001</v>
      </c>
      <c r="N68" s="34">
        <f t="shared" si="12"/>
        <v>482525.21500000003</v>
      </c>
      <c r="O68" s="34">
        <f t="shared" si="12"/>
        <v>37478.67</v>
      </c>
      <c r="P68" s="34">
        <f t="shared" si="12"/>
        <v>71819.692999999999</v>
      </c>
      <c r="Q68" s="34">
        <f t="shared" si="12"/>
        <v>47838.324000000001</v>
      </c>
      <c r="R68" s="34">
        <f t="shared" si="12"/>
        <v>1073.5150000000001</v>
      </c>
      <c r="S68" s="34">
        <f t="shared" si="12"/>
        <v>1293378.7660000001</v>
      </c>
      <c r="T68" s="34">
        <f t="shared" si="12"/>
        <v>1.7121329999999999</v>
      </c>
      <c r="U68" s="34">
        <f t="shared" si="12"/>
        <v>22749.306189559513</v>
      </c>
      <c r="V68" s="34">
        <f t="shared" si="12"/>
        <v>2508.3259977029493</v>
      </c>
      <c r="W68" s="34">
        <f t="shared" si="12"/>
        <v>225.08100000000002</v>
      </c>
      <c r="X68" s="34">
        <f t="shared" si="12"/>
        <v>2.529E-3</v>
      </c>
      <c r="Y68" s="34">
        <f t="shared" si="12"/>
        <v>80.530882970345999</v>
      </c>
      <c r="Z68" s="34">
        <f t="shared" si="12"/>
        <v>1.686E-3</v>
      </c>
      <c r="AA68" s="34">
        <f t="shared" si="12"/>
        <v>2272.4526112281001</v>
      </c>
      <c r="AB68" s="120">
        <f t="shared" si="12"/>
        <v>278664.09623532102</v>
      </c>
      <c r="AC68" s="57">
        <f t="shared" si="12"/>
        <v>75198716.104836866</v>
      </c>
      <c r="AD68" s="93"/>
      <c r="AE68" s="57">
        <f t="shared" si="4"/>
        <v>75198.716104836873</v>
      </c>
      <c r="AF68" s="128"/>
      <c r="AG68" s="57"/>
    </row>
    <row r="69" spans="1:33" ht="22.2" customHeight="1" x14ac:dyDescent="0.4">
      <c r="A69" s="20" t="s">
        <v>98</v>
      </c>
      <c r="B69" s="53">
        <f>SUM(B70:B74)</f>
        <v>30823829.833753683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30823829.833753683</v>
      </c>
      <c r="AD69" s="41"/>
      <c r="AE69" s="37">
        <f t="shared" si="4"/>
        <v>30823.829833753683</v>
      </c>
      <c r="AF69" s="128"/>
      <c r="AG69" s="76"/>
    </row>
    <row r="70" spans="1:33" ht="22.2" customHeight="1" x14ac:dyDescent="0.4">
      <c r="A70" s="100" t="s">
        <v>99</v>
      </c>
      <c r="B70" s="44">
        <v>19375977.810488001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19375977.810488001</v>
      </c>
      <c r="AD70" s="41"/>
      <c r="AE70" s="52">
        <f t="shared" si="4"/>
        <v>19375.977810487999</v>
      </c>
      <c r="AF70" s="128"/>
      <c r="AG70" s="111"/>
    </row>
    <row r="71" spans="1:33" ht="22.2" customHeight="1" x14ac:dyDescent="0.4">
      <c r="A71" s="100" t="s">
        <v>100</v>
      </c>
      <c r="B71" s="44">
        <v>3924034.1930895965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3924034.1930895965</v>
      </c>
      <c r="AD71" s="41"/>
      <c r="AE71" s="52">
        <f t="shared" si="4"/>
        <v>3924.0341930895966</v>
      </c>
      <c r="AF71" s="128"/>
      <c r="AG71" s="111"/>
    </row>
    <row r="72" spans="1:33" ht="22.2" customHeight="1" x14ac:dyDescent="0.4">
      <c r="A72" s="100" t="s">
        <v>101</v>
      </c>
      <c r="B72" s="44">
        <v>952604.15697820997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952604.15697820997</v>
      </c>
      <c r="AD72" s="41"/>
      <c r="AE72" s="52">
        <f t="shared" si="4"/>
        <v>952.60415697820997</v>
      </c>
      <c r="AF72" s="128"/>
      <c r="AG72" s="111"/>
    </row>
    <row r="73" spans="1:33" ht="22.2" customHeight="1" x14ac:dyDescent="0.4">
      <c r="A73" s="100" t="s">
        <v>102</v>
      </c>
      <c r="B73" s="44">
        <v>6571213.6731978785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6571213.6731978785</v>
      </c>
      <c r="AD73" s="41"/>
      <c r="AE73" s="52">
        <f t="shared" ref="AE73:AE136" si="13">AC73/1000</f>
        <v>6571.213673197879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2834249.2980000004</v>
      </c>
      <c r="C75" s="37">
        <f>SUM(C76:C85)</f>
        <v>275419.18124000006</v>
      </c>
      <c r="D75" s="37">
        <f>SUM(D76:D85)</f>
        <v>726951.33900000004</v>
      </c>
      <c r="E75" s="60">
        <f>SUM(E76:E85)</f>
        <v>2334855.52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6171475.3382399995</v>
      </c>
      <c r="AD75" s="41"/>
      <c r="AE75" s="37">
        <f t="shared" si="13"/>
        <v>6171.4753382399995</v>
      </c>
      <c r="AF75" s="128"/>
      <c r="AG75" s="76"/>
    </row>
    <row r="76" spans="1:33" ht="22.2" customHeight="1" x14ac:dyDescent="0.4">
      <c r="A76" s="100" t="s">
        <v>105</v>
      </c>
      <c r="B76" s="117">
        <v>180982.56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180982.56</v>
      </c>
      <c r="AD76" s="41"/>
      <c r="AE76" s="52">
        <f t="shared" si="13"/>
        <v>180.98256000000001</v>
      </c>
      <c r="AF76" s="128"/>
      <c r="AG76" s="111"/>
    </row>
    <row r="77" spans="1:33" ht="22.2" customHeight="1" x14ac:dyDescent="0.4">
      <c r="A77" s="100" t="s">
        <v>106</v>
      </c>
      <c r="B77" s="59"/>
      <c r="C77" s="58"/>
      <c r="D77" s="44">
        <v>546146.87400000007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546146.87400000007</v>
      </c>
      <c r="AD77" s="41"/>
      <c r="AE77" s="52">
        <f t="shared" si="13"/>
        <v>546.14687400000003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180804.46499999997</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180804.46499999997</v>
      </c>
      <c r="AD79" s="41"/>
      <c r="AE79" s="52">
        <f t="shared" si="13"/>
        <v>180.80446499999996</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174975.96000000002</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174975.96000000002</v>
      </c>
      <c r="AD82" s="41"/>
      <c r="AE82" s="52">
        <f t="shared" si="13"/>
        <v>174.97596000000001</v>
      </c>
      <c r="AF82" s="128"/>
      <c r="AG82" s="111"/>
    </row>
    <row r="83" spans="1:33" ht="22.2" customHeight="1" x14ac:dyDescent="0.4">
      <c r="A83" s="100" t="s">
        <v>112</v>
      </c>
      <c r="B83" s="44">
        <v>2091321.5580000002</v>
      </c>
      <c r="C83" s="44">
        <v>275419.18124000006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2366740.73924</v>
      </c>
      <c r="AD83" s="41"/>
      <c r="AE83" s="52">
        <f t="shared" si="13"/>
        <v>2366.74073924</v>
      </c>
      <c r="AF83" s="128"/>
      <c r="AG83" s="111"/>
    </row>
    <row r="84" spans="1:33" ht="22.2" customHeight="1" x14ac:dyDescent="0.4">
      <c r="A84" s="100" t="s">
        <v>113</v>
      </c>
      <c r="B84" s="59"/>
      <c r="C84" s="58"/>
      <c r="D84" s="58"/>
      <c r="E84" s="160">
        <v>2334855.52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2334855.52</v>
      </c>
      <c r="AD84" s="41"/>
      <c r="AE84" s="52">
        <f t="shared" si="13"/>
        <v>2334.8555200000001</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18655518.809999999</v>
      </c>
      <c r="C86" s="37">
        <f>SUM(C87:C93)</f>
        <v>3433.92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18658952.73</v>
      </c>
      <c r="AD86" s="41"/>
      <c r="AE86" s="37">
        <f>AC86/1000</f>
        <v>18658.952730000001</v>
      </c>
      <c r="AF86" s="128"/>
      <c r="AG86" s="76"/>
    </row>
    <row r="87" spans="1:33" ht="22.2" customHeight="1" x14ac:dyDescent="0.4">
      <c r="A87" s="100" t="s">
        <v>116</v>
      </c>
      <c r="B87" s="44">
        <v>18241040</v>
      </c>
      <c r="C87" s="44">
        <v>3433.92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18244473.920000002</v>
      </c>
      <c r="AD87" s="41"/>
      <c r="AE87" s="52">
        <f t="shared" si="13"/>
        <v>18244.47392</v>
      </c>
      <c r="AF87" s="128"/>
      <c r="AG87" s="111"/>
    </row>
    <row r="88" spans="1:33" ht="22.2" customHeight="1" x14ac:dyDescent="0.4">
      <c r="A88" s="100" t="s">
        <v>117</v>
      </c>
      <c r="B88" s="44">
        <v>336741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336741</v>
      </c>
      <c r="AD88" s="41"/>
      <c r="AE88" s="52">
        <f t="shared" si="13"/>
        <v>336.74099999999999</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0"/>
      <c r="V89" s="160"/>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77737.81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77737.81</v>
      </c>
      <c r="AD91" s="41"/>
      <c r="AE91" s="52">
        <f t="shared" si="13"/>
        <v>77.737809999999996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72779.854976355986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72779.854976355986</v>
      </c>
      <c r="AD94" s="41"/>
      <c r="AE94" s="37">
        <f t="shared" si="13"/>
        <v>72.779854976355992</v>
      </c>
      <c r="AF94" s="128"/>
      <c r="AG94" s="78"/>
    </row>
    <row r="95" spans="1:33" ht="22.2" customHeight="1" x14ac:dyDescent="0.4">
      <c r="A95" s="100" t="s">
        <v>124</v>
      </c>
      <c r="B95" s="44">
        <v>57528.906138791986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57528.906138791986</v>
      </c>
      <c r="AD95" s="41"/>
      <c r="AE95" s="52">
        <f t="shared" si="13"/>
        <v>57.528906138791989</v>
      </c>
      <c r="AF95" s="128"/>
      <c r="AG95" s="111"/>
    </row>
    <row r="96" spans="1:33" ht="22.2" customHeight="1" x14ac:dyDescent="0.4">
      <c r="A96" s="100" t="s">
        <v>125</v>
      </c>
      <c r="B96" s="44">
        <v>15250.948837563998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15250.948837563998</v>
      </c>
      <c r="AD96" s="41"/>
      <c r="AE96" s="52">
        <f t="shared" si="13"/>
        <v>15.250948837563998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277.13260205840999</v>
      </c>
      <c r="E99" s="66">
        <f>SUM(E100:E102)</f>
        <v>522.66</v>
      </c>
      <c r="F99" s="47"/>
      <c r="G99" s="47"/>
      <c r="H99" s="47"/>
      <c r="I99" s="47"/>
      <c r="J99" s="47"/>
      <c r="K99" s="47"/>
      <c r="L99" s="47"/>
      <c r="M99" s="47"/>
      <c r="N99" s="47"/>
      <c r="O99" s="47"/>
      <c r="P99" s="47"/>
      <c r="Q99" s="47"/>
      <c r="R99" s="47"/>
      <c r="S99" s="47"/>
      <c r="T99" s="66">
        <f>SUM(T100:T102)</f>
        <v>1.7121329999999999</v>
      </c>
      <c r="U99" s="66">
        <f t="shared" ref="U99:AB99" si="16">SUM(U100:U102)</f>
        <v>22749.306189559513</v>
      </c>
      <c r="V99" s="66">
        <f t="shared" si="16"/>
        <v>2508.3259977029493</v>
      </c>
      <c r="W99" s="66">
        <f t="shared" si="16"/>
        <v>225.08100000000002</v>
      </c>
      <c r="X99" s="66">
        <f t="shared" si="16"/>
        <v>2.529E-3</v>
      </c>
      <c r="Y99" s="66">
        <f t="shared" si="16"/>
        <v>80.530882970345999</v>
      </c>
      <c r="Z99" s="66">
        <f t="shared" si="16"/>
        <v>1.686E-3</v>
      </c>
      <c r="AA99" s="66">
        <f t="shared" si="16"/>
        <v>2272.4526112281001</v>
      </c>
      <c r="AB99" s="66">
        <f t="shared" si="16"/>
        <v>2098.8862353209997</v>
      </c>
      <c r="AC99" s="37">
        <f>SUM(AC100:AC104)</f>
        <v>30736.091866840317</v>
      </c>
      <c r="AD99" s="41"/>
      <c r="AE99" s="37">
        <f t="shared" si="13"/>
        <v>30.736091866840319</v>
      </c>
      <c r="AF99" s="128"/>
      <c r="AG99" s="63"/>
    </row>
    <row r="100" spans="1:33" ht="22.2" customHeight="1" x14ac:dyDescent="0.4">
      <c r="A100" s="100" t="s">
        <v>129</v>
      </c>
      <c r="B100" s="63"/>
      <c r="C100" s="63"/>
      <c r="D100" s="44">
        <v>225.62895</v>
      </c>
      <c r="E100" s="160">
        <v>522.66</v>
      </c>
      <c r="F100" s="47"/>
      <c r="G100" s="47"/>
      <c r="H100" s="47"/>
      <c r="I100" s="47"/>
      <c r="J100" s="47"/>
      <c r="K100" s="47"/>
      <c r="L100" s="47"/>
      <c r="M100" s="47"/>
      <c r="N100" s="47"/>
      <c r="O100" s="47"/>
      <c r="P100" s="47"/>
      <c r="Q100" s="47"/>
      <c r="R100" s="47"/>
      <c r="S100" s="47"/>
      <c r="T100" s="160">
        <v>1.7121329999999999</v>
      </c>
      <c r="U100" s="160">
        <v>2012.0723999999996</v>
      </c>
      <c r="V100" s="160">
        <v>1122.876</v>
      </c>
      <c r="W100" s="160">
        <v>225.08100000000002</v>
      </c>
      <c r="X100" s="160">
        <v>2.529E-3</v>
      </c>
      <c r="Y100" s="160">
        <v>80.422200000000004</v>
      </c>
      <c r="Z100" s="160">
        <v>1.686E-3</v>
      </c>
      <c r="AA100" s="160">
        <v>2035.845</v>
      </c>
      <c r="AB100" s="160">
        <v>990.52500000000009</v>
      </c>
      <c r="AC100" s="52">
        <f>SUM(B100:AB100)</f>
        <v>7216.8268979999993</v>
      </c>
      <c r="AD100" s="41"/>
      <c r="AE100" s="52">
        <f t="shared" si="13"/>
        <v>7.216826897999999</v>
      </c>
      <c r="AF100" s="128"/>
      <c r="AG100" s="111"/>
    </row>
    <row r="101" spans="1:33" ht="22.2" customHeight="1" x14ac:dyDescent="0.4">
      <c r="A101" s="100" t="s">
        <v>130</v>
      </c>
      <c r="B101" s="64"/>
      <c r="C101" s="63"/>
      <c r="D101" s="44">
        <v>51.503652058410005</v>
      </c>
      <c r="E101" s="45"/>
      <c r="F101" s="47"/>
      <c r="G101" s="47"/>
      <c r="H101" s="47"/>
      <c r="I101" s="47"/>
      <c r="J101" s="47"/>
      <c r="K101" s="47"/>
      <c r="L101" s="47"/>
      <c r="M101" s="47"/>
      <c r="N101" s="47"/>
      <c r="O101" s="47"/>
      <c r="P101" s="47"/>
      <c r="Q101" s="47"/>
      <c r="R101" s="47"/>
      <c r="S101" s="47"/>
      <c r="T101" s="47"/>
      <c r="U101" s="160">
        <v>49.095310346549994</v>
      </c>
      <c r="V101" s="47"/>
      <c r="W101" s="47"/>
      <c r="X101" s="47"/>
      <c r="Y101" s="160">
        <v>0.10868297034600001</v>
      </c>
      <c r="Z101" s="47"/>
      <c r="AA101" s="160">
        <v>236.60761122810004</v>
      </c>
      <c r="AB101" s="160">
        <v>1108.3612353209996</v>
      </c>
      <c r="AC101" s="52">
        <f>SUM(B101:AB101)</f>
        <v>1445.6764919244056</v>
      </c>
      <c r="AD101" s="41"/>
      <c r="AE101" s="52">
        <f t="shared" si="13"/>
        <v>1.4456764919244056</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0">
        <v>20688.138479212965</v>
      </c>
      <c r="V102" s="160">
        <v>1385.4499977029495</v>
      </c>
      <c r="W102" s="47"/>
      <c r="X102" s="47"/>
      <c r="Y102" s="47"/>
      <c r="Z102" s="47"/>
      <c r="AA102" s="47"/>
      <c r="AB102" s="75"/>
      <c r="AC102" s="52">
        <f>SUM(B102:AB102)</f>
        <v>22073.588476915913</v>
      </c>
      <c r="AD102" s="41"/>
      <c r="AE102" s="52">
        <f t="shared" si="13"/>
        <v>22.073588476915912</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1390856.2849999999</v>
      </c>
      <c r="G105" s="67">
        <f t="shared" ref="G105:S105" si="17">SUM(G106:G111)</f>
        <v>12836.678</v>
      </c>
      <c r="H105" s="66">
        <f t="shared" si="17"/>
        <v>33694.612999999998</v>
      </c>
      <c r="I105" s="66">
        <f t="shared" si="17"/>
        <v>282.21499999999997</v>
      </c>
      <c r="J105" s="66">
        <f t="shared" si="17"/>
        <v>7180111.0739999991</v>
      </c>
      <c r="K105" s="66">
        <f t="shared" si="17"/>
        <v>7849256.449</v>
      </c>
      <c r="L105" s="66">
        <f t="shared" si="17"/>
        <v>240784.68</v>
      </c>
      <c r="M105" s="66">
        <f t="shared" si="17"/>
        <v>486911.30900000001</v>
      </c>
      <c r="N105" s="66">
        <f t="shared" si="17"/>
        <v>482525.21500000003</v>
      </c>
      <c r="O105" s="66">
        <f t="shared" si="17"/>
        <v>37478.67</v>
      </c>
      <c r="P105" s="66">
        <f t="shared" si="17"/>
        <v>71819.692999999999</v>
      </c>
      <c r="Q105" s="66">
        <f t="shared" si="17"/>
        <v>47838.324000000001</v>
      </c>
      <c r="R105" s="67">
        <f t="shared" si="17"/>
        <v>1073.5150000000001</v>
      </c>
      <c r="S105" s="66">
        <f t="shared" si="17"/>
        <v>1293378.7660000001</v>
      </c>
      <c r="T105" s="47"/>
      <c r="U105" s="47"/>
      <c r="V105" s="47"/>
      <c r="W105" s="47"/>
      <c r="X105" s="47"/>
      <c r="Y105" s="47"/>
      <c r="Z105" s="47"/>
      <c r="AA105" s="47"/>
      <c r="AB105" s="75"/>
      <c r="AC105" s="37">
        <f>SUM(AC106:AC111)</f>
        <v>19128847.485999998</v>
      </c>
      <c r="AD105" s="41"/>
      <c r="AE105" s="37">
        <f>AC105/1000</f>
        <v>19128.847485999999</v>
      </c>
      <c r="AF105" s="128"/>
      <c r="AG105" s="63"/>
    </row>
    <row r="106" spans="1:33" ht="22.2" customHeight="1" x14ac:dyDescent="0.4">
      <c r="A106" s="100" t="s">
        <v>135</v>
      </c>
      <c r="B106" s="63"/>
      <c r="C106" s="63"/>
      <c r="D106" s="63"/>
      <c r="E106" s="45"/>
      <c r="F106" s="160">
        <v>1390856.2849999999</v>
      </c>
      <c r="G106" s="47"/>
      <c r="H106" s="47"/>
      <c r="I106" s="47"/>
      <c r="J106" s="160">
        <v>6627459.8279999997</v>
      </c>
      <c r="K106" s="160">
        <v>7849256.449</v>
      </c>
      <c r="L106" s="160">
        <v>240784.68</v>
      </c>
      <c r="M106" s="105"/>
      <c r="N106" s="47"/>
      <c r="O106" s="47"/>
      <c r="P106" s="47"/>
      <c r="Q106" s="47"/>
      <c r="R106" s="47"/>
      <c r="S106" s="160">
        <v>1293378.7660000001</v>
      </c>
      <c r="T106" s="47"/>
      <c r="U106" s="47"/>
      <c r="V106" s="47"/>
      <c r="W106" s="47"/>
      <c r="X106" s="47"/>
      <c r="Y106" s="47"/>
      <c r="Z106" s="47"/>
      <c r="AA106" s="47"/>
      <c r="AB106" s="75"/>
      <c r="AC106" s="52">
        <f>SUM(B106:AB106)</f>
        <v>17401736.007999998</v>
      </c>
      <c r="AD106" s="41"/>
      <c r="AE106" s="52">
        <f>AC106/1000</f>
        <v>17401.736007999996</v>
      </c>
      <c r="AF106" s="128"/>
      <c r="AG106" s="111"/>
    </row>
    <row r="107" spans="1:33" ht="22.2" customHeight="1" x14ac:dyDescent="0.4">
      <c r="A107" s="100" t="s">
        <v>136</v>
      </c>
      <c r="B107" s="63"/>
      <c r="C107" s="63"/>
      <c r="D107" s="63"/>
      <c r="E107" s="45"/>
      <c r="F107" s="47"/>
      <c r="G107" s="47"/>
      <c r="H107" s="47"/>
      <c r="I107" s="160">
        <v>282.21499999999997</v>
      </c>
      <c r="J107" s="160">
        <v>1820.06</v>
      </c>
      <c r="K107" s="47"/>
      <c r="L107" s="47"/>
      <c r="M107" s="160">
        <v>486911.30900000001</v>
      </c>
      <c r="N107" s="47"/>
      <c r="O107" s="47"/>
      <c r="P107" s="47"/>
      <c r="Q107" s="160">
        <v>45066.207000000002</v>
      </c>
      <c r="R107" s="47"/>
      <c r="S107" s="47"/>
      <c r="T107" s="47"/>
      <c r="U107" s="47"/>
      <c r="V107" s="47"/>
      <c r="W107" s="47"/>
      <c r="X107" s="47"/>
      <c r="Y107" s="47"/>
      <c r="Z107" s="47"/>
      <c r="AA107" s="47"/>
      <c r="AB107" s="75"/>
      <c r="AC107" s="52">
        <f>SUM(B107:AB107)</f>
        <v>534079.79100000008</v>
      </c>
      <c r="AD107" s="41"/>
      <c r="AE107" s="52">
        <f t="shared" si="13"/>
        <v>534.07979100000011</v>
      </c>
      <c r="AF107" s="128"/>
      <c r="AG107" s="111"/>
    </row>
    <row r="108" spans="1:33" ht="22.2" customHeight="1" x14ac:dyDescent="0.4">
      <c r="A108" s="100" t="s">
        <v>137</v>
      </c>
      <c r="B108" s="63"/>
      <c r="C108" s="63"/>
      <c r="D108" s="63"/>
      <c r="E108" s="45"/>
      <c r="F108" s="47"/>
      <c r="G108" s="47"/>
      <c r="H108" s="160">
        <v>33694.612999999998</v>
      </c>
      <c r="I108" s="47"/>
      <c r="J108" s="47"/>
      <c r="K108" s="47"/>
      <c r="L108" s="47"/>
      <c r="M108" s="47"/>
      <c r="N108" s="47"/>
      <c r="O108" s="160">
        <v>37478.67</v>
      </c>
      <c r="P108" s="160">
        <v>71819.692999999999</v>
      </c>
      <c r="Q108" s="47"/>
      <c r="R108" s="160">
        <v>1073.5150000000001</v>
      </c>
      <c r="S108" s="47"/>
      <c r="T108" s="47"/>
      <c r="U108" s="47"/>
      <c r="V108" s="47"/>
      <c r="W108" s="47"/>
      <c r="X108" s="47"/>
      <c r="Y108" s="47"/>
      <c r="Z108" s="47"/>
      <c r="AA108" s="47"/>
      <c r="AB108" s="75"/>
      <c r="AC108" s="52">
        <f>SUM(B108:AB108)</f>
        <v>144066.49100000001</v>
      </c>
      <c r="AD108" s="41"/>
      <c r="AE108" s="52">
        <f t="shared" si="13"/>
        <v>144.06649100000001</v>
      </c>
      <c r="AF108" s="128"/>
      <c r="AG108" s="111"/>
    </row>
    <row r="109" spans="1:33" ht="22.2" customHeight="1" x14ac:dyDescent="0.4">
      <c r="A109" s="100" t="s">
        <v>138</v>
      </c>
      <c r="B109" s="63"/>
      <c r="C109" s="63"/>
      <c r="D109" s="63"/>
      <c r="E109" s="45"/>
      <c r="F109" s="47"/>
      <c r="G109" s="47"/>
      <c r="H109" s="47"/>
      <c r="I109" s="47"/>
      <c r="J109" s="160">
        <v>550831.18599999999</v>
      </c>
      <c r="K109" s="47"/>
      <c r="L109" s="47"/>
      <c r="M109" s="47"/>
      <c r="N109" s="160">
        <v>482525.21500000003</v>
      </c>
      <c r="O109" s="47"/>
      <c r="P109" s="47"/>
      <c r="Q109" s="160">
        <v>2772.1170000000002</v>
      </c>
      <c r="R109" s="47"/>
      <c r="S109" s="47"/>
      <c r="T109" s="47"/>
      <c r="U109" s="47"/>
      <c r="V109" s="47"/>
      <c r="W109" s="47"/>
      <c r="X109" s="47"/>
      <c r="Y109" s="47"/>
      <c r="Z109" s="47"/>
      <c r="AA109" s="47"/>
      <c r="AB109" s="75"/>
      <c r="AC109" s="52">
        <f>SUM(B109:AB109)</f>
        <v>1036128.518</v>
      </c>
      <c r="AD109" s="41"/>
      <c r="AE109" s="52">
        <f t="shared" si="13"/>
        <v>1036.128518</v>
      </c>
      <c r="AF109" s="128"/>
      <c r="AG109" s="111"/>
    </row>
    <row r="110" spans="1:33" ht="22.2" customHeight="1" x14ac:dyDescent="0.4">
      <c r="A110" s="100" t="s">
        <v>139</v>
      </c>
      <c r="B110" s="64"/>
      <c r="C110" s="63"/>
      <c r="D110" s="63"/>
      <c r="E110" s="45"/>
      <c r="F110" s="47"/>
      <c r="G110" s="160">
        <v>12836.678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12836.678</v>
      </c>
      <c r="AD110" s="41"/>
      <c r="AE110" s="52">
        <f t="shared" si="13"/>
        <v>12.836677999999999</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276565.21000000002</v>
      </c>
      <c r="AC112" s="37">
        <f>SUM(AC113:AC116)</f>
        <v>276565.21000000002</v>
      </c>
      <c r="AD112" s="41"/>
      <c r="AE112" s="37">
        <f t="shared" si="13"/>
        <v>276.56521000000004</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0">
        <v>276565.21000000002</v>
      </c>
      <c r="AC113" s="52">
        <f>SUM(B113:AB113)</f>
        <v>276565.21000000002</v>
      </c>
      <c r="AD113" s="41"/>
      <c r="AE113" s="52">
        <f t="shared" si="13"/>
        <v>276.56521000000004</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35529.56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35529.56</v>
      </c>
      <c r="AD117" s="41"/>
      <c r="AE117" s="37">
        <f t="shared" si="13"/>
        <v>35.529559999999996</v>
      </c>
      <c r="AF117" s="128"/>
      <c r="AG117" s="64"/>
    </row>
    <row r="118" spans="1:33" ht="22.2" customHeight="1" x14ac:dyDescent="0.4">
      <c r="A118" s="100" t="s">
        <v>147</v>
      </c>
      <c r="B118" s="44">
        <v>35529.56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35529.56</v>
      </c>
      <c r="AD118" s="41"/>
      <c r="AE118" s="52">
        <f t="shared" si="13"/>
        <v>35.529559999999996</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1430743.47</v>
      </c>
      <c r="C121" s="33">
        <f>C122+C132+SUM(C143:C149)</f>
        <v>95690172.837699994</v>
      </c>
      <c r="D121" s="33">
        <f>D122+D132+SUM(D143:D149)</f>
        <v>30472822.196814001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127593738.50451399</v>
      </c>
      <c r="AD121" s="41"/>
      <c r="AE121" s="57">
        <f t="shared" si="13"/>
        <v>127593.738504514</v>
      </c>
      <c r="AF121" s="128"/>
      <c r="AG121" s="33">
        <f>SUM(AG122:AG149)</f>
        <v>0</v>
      </c>
    </row>
    <row r="122" spans="1:33" ht="22.2" customHeight="1" x14ac:dyDescent="0.4">
      <c r="A122" s="22" t="s">
        <v>151</v>
      </c>
      <c r="B122" s="58"/>
      <c r="C122" s="37">
        <f>SUM(C123:C131)</f>
        <v>76202082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76202082</v>
      </c>
      <c r="AD122" s="41"/>
      <c r="AE122" s="37">
        <f t="shared" si="13"/>
        <v>76202.081999999995</v>
      </c>
      <c r="AF122" s="128"/>
      <c r="AG122" s="63"/>
    </row>
    <row r="123" spans="1:33" ht="22.2" customHeight="1" x14ac:dyDescent="0.4">
      <c r="A123" s="21" t="s">
        <v>152</v>
      </c>
      <c r="B123" s="58"/>
      <c r="C123" s="44">
        <v>71904834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71904834</v>
      </c>
      <c r="AD123" s="41"/>
      <c r="AE123" s="52">
        <f t="shared" si="13"/>
        <v>71904.834000000003</v>
      </c>
      <c r="AF123" s="128"/>
      <c r="AG123" s="111"/>
    </row>
    <row r="124" spans="1:33" ht="22.2" customHeight="1" x14ac:dyDescent="0.4">
      <c r="A124" s="21" t="s">
        <v>153</v>
      </c>
      <c r="B124" s="59"/>
      <c r="C124" s="44">
        <v>1629087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1629087</v>
      </c>
      <c r="AD124" s="41"/>
      <c r="AE124" s="52">
        <f t="shared" si="13"/>
        <v>1629.087</v>
      </c>
      <c r="AF124" s="128"/>
      <c r="AG124" s="111"/>
    </row>
    <row r="125" spans="1:33" ht="22.2" customHeight="1" x14ac:dyDescent="0.4">
      <c r="A125" s="21" t="s">
        <v>154</v>
      </c>
      <c r="B125" s="59"/>
      <c r="C125" s="44">
        <v>400015</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400015</v>
      </c>
      <c r="AD125" s="41"/>
      <c r="AE125" s="52">
        <f t="shared" si="13"/>
        <v>400.01499999999999</v>
      </c>
      <c r="AF125" s="128"/>
      <c r="AG125" s="111"/>
    </row>
    <row r="126" spans="1:33" ht="22.2" customHeight="1" x14ac:dyDescent="0.4">
      <c r="A126" s="21" t="s">
        <v>155</v>
      </c>
      <c r="B126" s="59"/>
      <c r="C126" s="44">
        <v>324808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324808</v>
      </c>
      <c r="AD126" s="41"/>
      <c r="AE126" s="52">
        <f t="shared" si="13"/>
        <v>324.80799999999999</v>
      </c>
      <c r="AF126" s="128"/>
      <c r="AG126" s="111"/>
    </row>
    <row r="127" spans="1:33" ht="22.2" customHeight="1" x14ac:dyDescent="0.4">
      <c r="A127" s="21" t="s">
        <v>156</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157</v>
      </c>
      <c r="B128" s="59"/>
      <c r="C128" s="44">
        <v>1396434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1396434</v>
      </c>
      <c r="AD128" s="41"/>
      <c r="AE128" s="52">
        <f t="shared" si="13"/>
        <v>1396.434</v>
      </c>
      <c r="AF128" s="128"/>
      <c r="AG128" s="111"/>
    </row>
    <row r="129" spans="1:33" ht="22.2" customHeight="1" x14ac:dyDescent="0.4">
      <c r="A129" s="21" t="s">
        <v>158</v>
      </c>
      <c r="B129" s="76"/>
      <c r="C129" s="44">
        <v>437594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437594</v>
      </c>
      <c r="AD129" s="41"/>
      <c r="AE129" s="52">
        <f t="shared" si="13"/>
        <v>437.59399999999999</v>
      </c>
      <c r="AF129" s="128"/>
      <c r="AG129" s="111"/>
    </row>
    <row r="130" spans="1:33" ht="22.2" customHeight="1" x14ac:dyDescent="0.4">
      <c r="A130" s="21" t="s">
        <v>159</v>
      </c>
      <c r="B130" s="77"/>
      <c r="C130" s="44">
        <v>109310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109310</v>
      </c>
      <c r="AD130" s="41"/>
      <c r="AE130" s="52">
        <f t="shared" si="13"/>
        <v>109.31</v>
      </c>
      <c r="AF130" s="128"/>
      <c r="AG130" s="111"/>
    </row>
    <row r="131" spans="1:33" ht="22.2" customHeight="1" x14ac:dyDescent="0.4">
      <c r="A131" s="21" t="s">
        <v>160</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161</v>
      </c>
      <c r="B132" s="78"/>
      <c r="C132" s="62">
        <f>SUM(C133:C142)</f>
        <v>18640462</v>
      </c>
      <c r="D132" s="62">
        <f>SUM(D133:D142)</f>
        <v>7579028.9425999997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26219490.942600001</v>
      </c>
      <c r="AD132" s="41"/>
      <c r="AE132" s="37">
        <f t="shared" si="13"/>
        <v>26219.490942600001</v>
      </c>
      <c r="AF132" s="128"/>
      <c r="AG132" s="78"/>
    </row>
    <row r="133" spans="1:33" ht="22.2" customHeight="1" x14ac:dyDescent="0.4">
      <c r="A133" s="21" t="s">
        <v>162</v>
      </c>
      <c r="B133" s="59"/>
      <c r="C133" s="44">
        <v>10880262</v>
      </c>
      <c r="D133" s="44">
        <v>6233338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17113600</v>
      </c>
      <c r="AD133" s="41"/>
      <c r="AE133" s="52">
        <f t="shared" si="13"/>
        <v>17113.599999999999</v>
      </c>
      <c r="AF133" s="128"/>
      <c r="AG133" s="111"/>
    </row>
    <row r="134" spans="1:33" ht="22.2" customHeight="1" x14ac:dyDescent="0.4">
      <c r="A134" s="21" t="s">
        <v>163</v>
      </c>
      <c r="B134" s="59"/>
      <c r="C134" s="44">
        <v>38103</v>
      </c>
      <c r="D134" s="44">
        <v>36966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75069</v>
      </c>
      <c r="AD134" s="41"/>
      <c r="AE134" s="52">
        <f t="shared" si="13"/>
        <v>75.069000000000003</v>
      </c>
      <c r="AF134" s="128"/>
      <c r="AG134" s="111"/>
    </row>
    <row r="135" spans="1:33" ht="22.2" customHeight="1" x14ac:dyDescent="0.4">
      <c r="A135" s="21" t="s">
        <v>164</v>
      </c>
      <c r="B135" s="59"/>
      <c r="C135" s="44">
        <v>5733607</v>
      </c>
      <c r="D135" s="44">
        <v>456569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6190176</v>
      </c>
      <c r="AD135" s="41"/>
      <c r="AE135" s="52">
        <f t="shared" si="13"/>
        <v>6190.1760000000004</v>
      </c>
      <c r="AF135" s="128"/>
      <c r="AG135" s="111"/>
    </row>
    <row r="136" spans="1:33" ht="22.2" customHeight="1" x14ac:dyDescent="0.4">
      <c r="A136" s="21" t="s">
        <v>165</v>
      </c>
      <c r="B136" s="59"/>
      <c r="C136" s="44">
        <v>9553</v>
      </c>
      <c r="D136" s="44">
        <v>31893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41446</v>
      </c>
      <c r="AD136" s="41"/>
      <c r="AE136" s="52">
        <f t="shared" si="13"/>
        <v>41.445999999999998</v>
      </c>
      <c r="AF136" s="128"/>
      <c r="AG136" s="111"/>
    </row>
    <row r="137" spans="1:33" ht="22.2" customHeight="1" x14ac:dyDescent="0.4">
      <c r="A137" s="21" t="s">
        <v>166</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167</v>
      </c>
      <c r="B138" s="59"/>
      <c r="C138" s="44">
        <v>38123</v>
      </c>
      <c r="D138" s="44">
        <v>22233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60356</v>
      </c>
      <c r="AD138" s="41"/>
      <c r="AE138" s="52">
        <f t="shared" si="20"/>
        <v>60.356000000000002</v>
      </c>
      <c r="AF138" s="128"/>
      <c r="AG138" s="111"/>
    </row>
    <row r="139" spans="1:33" ht="22.2" customHeight="1" x14ac:dyDescent="0.4">
      <c r="A139" s="21" t="s">
        <v>168</v>
      </c>
      <c r="B139" s="59"/>
      <c r="C139" s="44">
        <v>42061</v>
      </c>
      <c r="D139" s="44">
        <v>333883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375944</v>
      </c>
      <c r="AD139" s="41"/>
      <c r="AE139" s="52">
        <f t="shared" si="20"/>
        <v>375.94400000000002</v>
      </c>
      <c r="AF139" s="128"/>
      <c r="AG139" s="111"/>
    </row>
    <row r="140" spans="1:33" ht="22.2" customHeight="1" x14ac:dyDescent="0.4">
      <c r="A140" s="21" t="s">
        <v>169</v>
      </c>
      <c r="B140" s="59"/>
      <c r="C140" s="44">
        <v>10729</v>
      </c>
      <c r="D140" s="44">
        <v>74476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85205</v>
      </c>
      <c r="AD140" s="41"/>
      <c r="AE140" s="52">
        <f t="shared" si="20"/>
        <v>85.204999999999998</v>
      </c>
      <c r="AF140" s="128"/>
      <c r="AG140" s="111"/>
    </row>
    <row r="141" spans="1:33" ht="22.2" customHeight="1" x14ac:dyDescent="0.4">
      <c r="A141" s="21" t="s">
        <v>170</v>
      </c>
      <c r="B141" s="76"/>
      <c r="C141" s="44">
        <v>1888024</v>
      </c>
      <c r="D141" s="44">
        <v>389670.94260000001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2277694.9426000002</v>
      </c>
      <c r="AD141" s="41"/>
      <c r="AE141" s="52">
        <f t="shared" si="20"/>
        <v>2277.6949426000001</v>
      </c>
      <c r="AF141" s="128"/>
      <c r="AG141" s="111"/>
    </row>
    <row r="142" spans="1:33" ht="22.2" customHeight="1" x14ac:dyDescent="0.4">
      <c r="A142" s="21" t="s">
        <v>171</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172</v>
      </c>
      <c r="B143" s="59"/>
      <c r="C143" s="75"/>
      <c r="D143" s="44">
        <v>738250.56709999999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738250.56709999999</v>
      </c>
      <c r="AD143" s="41"/>
      <c r="AE143" s="52">
        <f t="shared" ref="AE143:AE150" si="22">AC143/1000</f>
        <v>738.25056710000001</v>
      </c>
      <c r="AF143" s="128"/>
      <c r="AG143" s="111"/>
    </row>
    <row r="144" spans="1:33" ht="22.2" customHeight="1" x14ac:dyDescent="0.4">
      <c r="A144" s="22" t="s">
        <v>173</v>
      </c>
      <c r="B144" s="59"/>
      <c r="C144" s="44">
        <v>137746.43299999999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137746.43299999999</v>
      </c>
      <c r="AD144" s="41"/>
      <c r="AE144" s="52">
        <f t="shared" si="22"/>
        <v>137.746433</v>
      </c>
      <c r="AF144" s="128"/>
      <c r="AG144" s="111"/>
    </row>
    <row r="145" spans="1:33" ht="22.2" customHeight="1" x14ac:dyDescent="0.4">
      <c r="A145" s="22" t="s">
        <v>174</v>
      </c>
      <c r="B145" s="59"/>
      <c r="C145" s="75"/>
      <c r="D145" s="44">
        <v>15495564.300000001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15495564.300000001</v>
      </c>
      <c r="AD145" s="41"/>
      <c r="AE145" s="52">
        <f t="shared" si="22"/>
        <v>15495.5643</v>
      </c>
      <c r="AF145" s="128"/>
      <c r="AG145" s="111"/>
    </row>
    <row r="146" spans="1:33" ht="22.2" customHeight="1" x14ac:dyDescent="0.4">
      <c r="A146" s="22" t="s">
        <v>175</v>
      </c>
      <c r="B146" s="59"/>
      <c r="C146" s="75"/>
      <c r="D146" s="44">
        <v>6444851.2687139995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6444851.2687139995</v>
      </c>
      <c r="AD146" s="41"/>
      <c r="AE146" s="52">
        <f t="shared" si="22"/>
        <v>6444.8512687139992</v>
      </c>
      <c r="AF146" s="128"/>
      <c r="AG146" s="111"/>
    </row>
    <row r="147" spans="1:33" ht="22.2" customHeight="1" x14ac:dyDescent="0.4">
      <c r="A147" s="21" t="s">
        <v>176</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 customHeight="1" x14ac:dyDescent="0.4">
      <c r="A148" s="22" t="s">
        <v>177</v>
      </c>
      <c r="B148" s="44">
        <v>36913.040000000001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36913.040000000001</v>
      </c>
      <c r="AD148" s="41"/>
      <c r="AE148" s="52">
        <f t="shared" si="22"/>
        <v>36.913040000000002</v>
      </c>
      <c r="AF148" s="128"/>
      <c r="AG148" s="111"/>
    </row>
    <row r="149" spans="1:33" ht="22.2" customHeight="1" x14ac:dyDescent="0.4">
      <c r="A149" s="22" t="s">
        <v>178</v>
      </c>
      <c r="B149" s="44">
        <v>1393830.43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1393830.43</v>
      </c>
      <c r="AD149" s="41"/>
      <c r="AE149" s="52">
        <f t="shared" si="22"/>
        <v>1393.83043</v>
      </c>
      <c r="AF149" s="128"/>
      <c r="AG149" s="111"/>
    </row>
    <row r="150" spans="1:33" ht="22.2" customHeight="1" x14ac:dyDescent="0.4">
      <c r="A150" s="15" t="s">
        <v>179</v>
      </c>
      <c r="B150" s="33">
        <f>B151+B154+B157+B160+B163+B166+B173</f>
        <v>-182081206.3691</v>
      </c>
      <c r="C150" s="33">
        <f>C169</f>
        <v>497630.79059999995</v>
      </c>
      <c r="D150" s="33">
        <f>D169</f>
        <v>280754.37219999998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-181302821.20629999</v>
      </c>
      <c r="AD150" s="41"/>
      <c r="AE150" s="57">
        <f t="shared" si="22"/>
        <v>-181302.8212063</v>
      </c>
      <c r="AF150" s="128"/>
      <c r="AG150" s="33">
        <f>AG169</f>
        <v>6395.2999999999993</v>
      </c>
    </row>
    <row r="151" spans="1:33" ht="22.2" customHeight="1" x14ac:dyDescent="0.4">
      <c r="A151" s="22" t="s">
        <v>180</v>
      </c>
      <c r="B151" s="151">
        <f>SUM(B152:B153)</f>
        <v>-182791061.84200001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-182791061.84200001</v>
      </c>
      <c r="AD151" s="41"/>
      <c r="AE151" s="79">
        <f t="shared" si="20"/>
        <v>-182791.061842</v>
      </c>
      <c r="AF151" s="128"/>
      <c r="AG151" s="63"/>
    </row>
    <row r="152" spans="1:33" ht="22.2" customHeight="1" x14ac:dyDescent="0.4">
      <c r="A152" s="21" t="s">
        <v>181</v>
      </c>
      <c r="B152" s="44">
        <v>-178572711.52360001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-178572711.52360001</v>
      </c>
      <c r="AD152" s="41"/>
      <c r="AE152" s="52">
        <f t="shared" si="20"/>
        <v>-178572.71152360001</v>
      </c>
      <c r="AF152" s="128"/>
      <c r="AG152" s="111"/>
    </row>
    <row r="153" spans="1:33" ht="22.2" customHeight="1" x14ac:dyDescent="0.4">
      <c r="A153" s="21" t="s">
        <v>182</v>
      </c>
      <c r="B153" s="44">
        <v>-4218350.3184000002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-4218350.3184000002</v>
      </c>
      <c r="AD153" s="41"/>
      <c r="AE153" s="52">
        <f t="shared" si="20"/>
        <v>-4218.3503184000001</v>
      </c>
      <c r="AF153" s="128"/>
      <c r="AG153" s="111"/>
    </row>
    <row r="154" spans="1:33" ht="22.2" customHeight="1" x14ac:dyDescent="0.4">
      <c r="A154" s="22" t="s">
        <v>183</v>
      </c>
      <c r="B154" s="151">
        <f>SUM(B155:B156)</f>
        <v>-9837296.3983000014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-9837296.3983000014</v>
      </c>
      <c r="AD154" s="41"/>
      <c r="AE154" s="79">
        <f t="shared" si="20"/>
        <v>-9837.2963983000009</v>
      </c>
      <c r="AF154" s="128"/>
      <c r="AG154" s="63"/>
    </row>
    <row r="155" spans="1:33" ht="22.2" customHeight="1" x14ac:dyDescent="0.4">
      <c r="A155" s="21" t="s">
        <v>184</v>
      </c>
      <c r="B155" s="44">
        <v>-20560942.283300001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-20560942.283300001</v>
      </c>
      <c r="AD155" s="41"/>
      <c r="AE155" s="52">
        <f t="shared" si="20"/>
        <v>-20560.942283300003</v>
      </c>
      <c r="AF155" s="128"/>
      <c r="AG155" s="111"/>
    </row>
    <row r="156" spans="1:33" ht="22.2" customHeight="1" x14ac:dyDescent="0.4">
      <c r="A156" s="21" t="s">
        <v>185</v>
      </c>
      <c r="B156" s="44">
        <v>10723645.885</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10723645.885</v>
      </c>
      <c r="AD156" s="41"/>
      <c r="AE156" s="52">
        <f t="shared" si="20"/>
        <v>10723.645885</v>
      </c>
      <c r="AF156" s="128"/>
      <c r="AG156" s="111"/>
    </row>
    <row r="157" spans="1:33" ht="22.2" customHeight="1" x14ac:dyDescent="0.4">
      <c r="A157" s="22" t="s">
        <v>186</v>
      </c>
      <c r="B157" s="151">
        <f>SUM(B158:B159)</f>
        <v>13840157.083099999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13840157.083099999</v>
      </c>
      <c r="AD157" s="41"/>
      <c r="AE157" s="79">
        <f t="shared" si="20"/>
        <v>13840.157083099999</v>
      </c>
      <c r="AF157" s="128"/>
      <c r="AG157" s="63"/>
    </row>
    <row r="158" spans="1:33" ht="22.2" customHeight="1" x14ac:dyDescent="0.4">
      <c r="A158" s="21" t="s">
        <v>187</v>
      </c>
      <c r="B158" s="44">
        <v>-476261.7562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-476261.7562</v>
      </c>
      <c r="AD158" s="41"/>
      <c r="AE158" s="52">
        <f t="shared" si="20"/>
        <v>-476.26175619999998</v>
      </c>
      <c r="AF158" s="128"/>
      <c r="AG158" s="111"/>
    </row>
    <row r="159" spans="1:33" ht="22.2" customHeight="1" x14ac:dyDescent="0.4">
      <c r="A159" s="21" t="s">
        <v>188</v>
      </c>
      <c r="B159" s="44">
        <v>14316418.839299999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14316418.839299999</v>
      </c>
      <c r="AD159" s="41"/>
      <c r="AE159" s="52">
        <f t="shared" si="20"/>
        <v>14316.418839299999</v>
      </c>
      <c r="AF159" s="128"/>
      <c r="AG159" s="111"/>
    </row>
    <row r="160" spans="1:33" ht="22.2" customHeight="1" x14ac:dyDescent="0.4">
      <c r="A160" s="22" t="s">
        <v>189</v>
      </c>
      <c r="B160" s="151">
        <f>SUM(B161:B162)</f>
        <v>198340.8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198340.8</v>
      </c>
      <c r="AD160" s="41"/>
      <c r="AE160" s="79">
        <f t="shared" si="20"/>
        <v>198.3408</v>
      </c>
      <c r="AF160" s="128"/>
      <c r="AG160" s="63"/>
    </row>
    <row r="161" spans="1:33" ht="22.2" customHeight="1" x14ac:dyDescent="0.4">
      <c r="A161" s="21" t="s">
        <v>190</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191</v>
      </c>
      <c r="B162" s="44">
        <v>198340.8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198340.8</v>
      </c>
      <c r="AD162" s="41"/>
      <c r="AE162" s="52">
        <f t="shared" si="20"/>
        <v>198.3408</v>
      </c>
      <c r="AF162" s="128"/>
      <c r="AG162" s="111"/>
    </row>
    <row r="163" spans="1:33" ht="22.2" customHeight="1" x14ac:dyDescent="0.4">
      <c r="A163" s="22" t="s">
        <v>192</v>
      </c>
      <c r="B163" s="151">
        <f>SUM(B164:B165)</f>
        <v>322989.44699999999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322989.44699999999</v>
      </c>
      <c r="AD163" s="41"/>
      <c r="AE163" s="79">
        <f t="shared" si="20"/>
        <v>322.98944699999998</v>
      </c>
      <c r="AF163" s="128"/>
      <c r="AG163" s="63"/>
    </row>
    <row r="164" spans="1:33" ht="22.2" customHeight="1" x14ac:dyDescent="0.4">
      <c r="A164" s="21" t="s">
        <v>193</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194</v>
      </c>
      <c r="B165" s="44">
        <v>322989.44699999999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322989.44699999999</v>
      </c>
      <c r="AD165" s="41"/>
      <c r="AE165" s="52">
        <f t="shared" si="20"/>
        <v>322.98944699999998</v>
      </c>
      <c r="AF165" s="128"/>
      <c r="AG165" s="111"/>
    </row>
    <row r="166" spans="1:33" ht="22.2" customHeight="1" x14ac:dyDescent="0.4">
      <c r="A166" s="22" t="s">
        <v>195</v>
      </c>
      <c r="B166" s="151">
        <f>SUM(B167:B168)</f>
        <v>85088.179900000003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85088.179900000003</v>
      </c>
      <c r="AD166" s="41"/>
      <c r="AE166" s="79">
        <f t="shared" si="20"/>
        <v>85.0881799</v>
      </c>
      <c r="AF166" s="128"/>
      <c r="AG166" s="63"/>
    </row>
    <row r="167" spans="1:33" ht="22.2" customHeight="1" x14ac:dyDescent="0.4">
      <c r="A167" s="21" t="s">
        <v>196</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197</v>
      </c>
      <c r="B168" s="44">
        <v>85088.179900000003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85088.179900000003</v>
      </c>
      <c r="AD168" s="41"/>
      <c r="AE168" s="52">
        <f t="shared" si="20"/>
        <v>85.0881799</v>
      </c>
      <c r="AF168" s="128"/>
      <c r="AG168" s="111"/>
    </row>
    <row r="169" spans="1:33" ht="22.2" customHeight="1" x14ac:dyDescent="0.4">
      <c r="A169" s="22" t="s">
        <v>198</v>
      </c>
      <c r="B169" s="59"/>
      <c r="C169" s="62">
        <f>SUM(C170:C171)</f>
        <v>497630.79059999995</v>
      </c>
      <c r="D169" s="62">
        <f>SUM(D170:D171)</f>
        <v>280754.37219999998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778385.16279999993</v>
      </c>
      <c r="AD169" s="41"/>
      <c r="AE169" s="52">
        <f t="shared" si="20"/>
        <v>778.38516279999999</v>
      </c>
      <c r="AF169" s="128"/>
      <c r="AG169" s="54">
        <f>SUM(AG170:AG171)</f>
        <v>6395.2999999999993</v>
      </c>
    </row>
    <row r="170" spans="1:33" ht="22.2" customHeight="1" x14ac:dyDescent="0.4">
      <c r="A170" s="21" t="s">
        <v>199</v>
      </c>
      <c r="B170" s="59"/>
      <c r="C170" s="44">
        <v>299877.82059999998</v>
      </c>
      <c r="D170" s="44">
        <v>109870.0122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409747.83279999997</v>
      </c>
      <c r="AD170" s="41"/>
      <c r="AE170" s="52">
        <f t="shared" si="20"/>
        <v>409.74783279999997</v>
      </c>
      <c r="AF170" s="128"/>
      <c r="AG170" s="44">
        <v>2986.6109999999999</v>
      </c>
    </row>
    <row r="171" spans="1:33" ht="22.2" customHeight="1" x14ac:dyDescent="0.4">
      <c r="A171" s="21" t="s">
        <v>200</v>
      </c>
      <c r="B171" s="59"/>
      <c r="C171" s="44">
        <v>197752.97</v>
      </c>
      <c r="D171" s="44">
        <v>170884.36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368637.32999999996</v>
      </c>
      <c r="AD171" s="41"/>
      <c r="AE171" s="52">
        <f t="shared" si="20"/>
        <v>368.63732999999996</v>
      </c>
      <c r="AF171" s="128"/>
      <c r="AG171" s="44">
        <v>3408.6889999999999</v>
      </c>
    </row>
    <row r="172" spans="1:33" ht="22.2" customHeight="1" x14ac:dyDescent="0.4">
      <c r="A172" s="21" t="s">
        <v>201</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202</v>
      </c>
      <c r="B173" s="44">
        <v>-3899423.6387999998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-3899423.6387999998</v>
      </c>
      <c r="AD173" s="41"/>
      <c r="AE173" s="52">
        <f t="shared" si="20"/>
        <v>-3899.4236387999999</v>
      </c>
      <c r="AF173" s="128"/>
      <c r="AG173" s="111"/>
    </row>
    <row r="174" spans="1:33" ht="22.2" customHeight="1" thickBot="1" x14ac:dyDescent="0.45">
      <c r="A174" s="23" t="s">
        <v>203</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2"/>
      <c r="AC174" s="124"/>
      <c r="AD174" s="41"/>
      <c r="AE174" s="124"/>
      <c r="AF174" s="128"/>
      <c r="AG174" s="127"/>
    </row>
    <row r="175" spans="1:33" ht="22.2" customHeight="1" x14ac:dyDescent="0.4">
      <c r="A175" s="15" t="s">
        <v>204</v>
      </c>
      <c r="B175" s="33">
        <f>B176+B180+B181+B184+B187</f>
        <v>1545482.1679999998</v>
      </c>
      <c r="C175" s="33">
        <f>C176+C180+C181+C184+C187</f>
        <v>47407622.95072414</v>
      </c>
      <c r="D175" s="33">
        <f>D176+D180+D181+D184+D187</f>
        <v>4773634.1969999997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53726739.315724134</v>
      </c>
      <c r="AD175" s="97"/>
      <c r="AE175" s="81">
        <f t="shared" si="20"/>
        <v>53726.739315724131</v>
      </c>
      <c r="AF175" s="128"/>
      <c r="AG175" s="33">
        <f>AG176+AG180+AG181+AG184+AG187</f>
        <v>1478.1485290000001</v>
      </c>
    </row>
    <row r="176" spans="1:33" ht="22.2" customHeight="1" x14ac:dyDescent="0.4">
      <c r="A176" s="24" t="s">
        <v>205</v>
      </c>
      <c r="B176" s="63"/>
      <c r="C176" s="62">
        <f>C177+C178+C179</f>
        <v>25559737.295724139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25559737.295724139</v>
      </c>
      <c r="AD176" s="97"/>
      <c r="AE176" s="37">
        <f t="shared" si="20"/>
        <v>25559.737295724139</v>
      </c>
      <c r="AF176" s="128"/>
      <c r="AG176" s="78"/>
    </row>
    <row r="177" spans="1:33" ht="22.2" customHeight="1" x14ac:dyDescent="0.4">
      <c r="A177" s="100" t="s">
        <v>206</v>
      </c>
      <c r="B177" s="63"/>
      <c r="C177" s="44">
        <v>16544253.621981051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16544253.621981051</v>
      </c>
      <c r="AD177" s="97"/>
      <c r="AE177" s="44">
        <f t="shared" si="20"/>
        <v>16544.25362198105</v>
      </c>
      <c r="AF177" s="128"/>
      <c r="AG177" s="111"/>
    </row>
    <row r="178" spans="1:33" ht="22.2" customHeight="1" x14ac:dyDescent="0.4">
      <c r="A178" s="100" t="s">
        <v>207</v>
      </c>
      <c r="B178" s="63"/>
      <c r="C178" s="44">
        <v>6306164.2537843855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6306164.2537843855</v>
      </c>
      <c r="AD178" s="97"/>
      <c r="AE178" s="52">
        <f t="shared" si="20"/>
        <v>6306.1642537843854</v>
      </c>
      <c r="AF178" s="128"/>
      <c r="AG178" s="111"/>
    </row>
    <row r="179" spans="1:33" ht="22.2" customHeight="1" x14ac:dyDescent="0.4">
      <c r="A179" s="100" t="s">
        <v>208</v>
      </c>
      <c r="B179" s="63"/>
      <c r="C179" s="44">
        <v>2709319.4199587018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2709319.4199587018</v>
      </c>
      <c r="AD179" s="97"/>
      <c r="AE179" s="52">
        <f t="shared" si="20"/>
        <v>2709.3194199587019</v>
      </c>
      <c r="AF179" s="128"/>
      <c r="AG179" s="111"/>
    </row>
    <row r="180" spans="1:33" ht="22.2" customHeight="1" x14ac:dyDescent="0.4">
      <c r="A180" s="24" t="s">
        <v>209</v>
      </c>
      <c r="B180" s="63"/>
      <c r="C180" s="163">
        <v>97832.372000000003</v>
      </c>
      <c r="D180" s="164">
        <v>69443.513999999996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167275.886</v>
      </c>
      <c r="AD180" s="97"/>
      <c r="AE180" s="37">
        <f t="shared" si="20"/>
        <v>167.27588599999999</v>
      </c>
      <c r="AF180" s="128"/>
      <c r="AG180" s="111"/>
    </row>
    <row r="181" spans="1:33" ht="22.2" customHeight="1" x14ac:dyDescent="0.4">
      <c r="A181" s="24" t="s">
        <v>210</v>
      </c>
      <c r="B181" s="62">
        <f>B182+B183</f>
        <v>1545482.1679999998</v>
      </c>
      <c r="C181" s="62">
        <f>C182+C183</f>
        <v>834093.01299999992</v>
      </c>
      <c r="D181" s="62">
        <f>D182+D183</f>
        <v>183519.42600000001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2563094.6069999998</v>
      </c>
      <c r="AD181" s="97"/>
      <c r="AE181" s="37">
        <f t="shared" si="20"/>
        <v>2563.094607</v>
      </c>
      <c r="AF181" s="128"/>
      <c r="AG181" s="37">
        <f>AG182+AG183</f>
        <v>1478.1485290000001</v>
      </c>
    </row>
    <row r="182" spans="1:33" ht="22.2" customHeight="1" x14ac:dyDescent="0.4">
      <c r="A182" s="100" t="s">
        <v>211</v>
      </c>
      <c r="B182" s="44">
        <v>43867.508000000002</v>
      </c>
      <c r="C182" s="44">
        <v>76.231999999999999</v>
      </c>
      <c r="D182" s="44">
        <v>1364.662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45308.402000000002</v>
      </c>
      <c r="AD182" s="97"/>
      <c r="AE182" s="52">
        <f t="shared" si="20"/>
        <v>45.308402000000001</v>
      </c>
      <c r="AF182" s="128"/>
      <c r="AG182" s="111"/>
    </row>
    <row r="183" spans="1:33" ht="22.2" customHeight="1" x14ac:dyDescent="0.4">
      <c r="A183" s="100" t="s">
        <v>212</v>
      </c>
      <c r="B183" s="44">
        <v>1501614.66</v>
      </c>
      <c r="C183" s="44">
        <v>834016.78099999996</v>
      </c>
      <c r="D183" s="44">
        <v>182154.764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2517786.2049999996</v>
      </c>
      <c r="AD183" s="97"/>
      <c r="AE183" s="52">
        <f t="shared" si="20"/>
        <v>2517.7862049999994</v>
      </c>
      <c r="AF183" s="128"/>
      <c r="AG183" s="44">
        <v>1478.1485290000001</v>
      </c>
    </row>
    <row r="184" spans="1:33" ht="22.2" customHeight="1" x14ac:dyDescent="0.4">
      <c r="A184" s="20" t="s">
        <v>213</v>
      </c>
      <c r="B184" s="63"/>
      <c r="C184" s="37">
        <f>SUM(C185:C186)</f>
        <v>20915960.27</v>
      </c>
      <c r="D184" s="37">
        <f>SUM(D185:D186)</f>
        <v>4520671.2569999993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25436631.526999999</v>
      </c>
      <c r="AD184" s="97"/>
      <c r="AE184" s="37">
        <f t="shared" si="20"/>
        <v>25436.631526999998</v>
      </c>
      <c r="AF184" s="128"/>
      <c r="AG184" s="76"/>
    </row>
    <row r="185" spans="1:33" ht="22.2" customHeight="1" x14ac:dyDescent="0.4">
      <c r="A185" s="100" t="s">
        <v>214</v>
      </c>
      <c r="B185" s="63"/>
      <c r="C185" s="44">
        <v>4058609.1609999998</v>
      </c>
      <c r="D185" s="44">
        <v>2188201.352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6246810.5130000003</v>
      </c>
      <c r="AD185" s="97"/>
      <c r="AE185" s="52">
        <f t="shared" si="20"/>
        <v>6246.8105130000004</v>
      </c>
      <c r="AF185" s="128"/>
      <c r="AG185" s="111"/>
    </row>
    <row r="186" spans="1:33" ht="22.2" customHeight="1" x14ac:dyDescent="0.4">
      <c r="A186" s="100" t="s">
        <v>215</v>
      </c>
      <c r="B186" s="63"/>
      <c r="C186" s="44">
        <v>16857351.109000001</v>
      </c>
      <c r="D186" s="44">
        <v>2332469.9049999998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19189821.014000002</v>
      </c>
      <c r="AD186" s="97"/>
      <c r="AE186" s="52">
        <f t="shared" si="20"/>
        <v>19189.821014000001</v>
      </c>
      <c r="AF186" s="128"/>
      <c r="AG186" s="111"/>
    </row>
    <row r="187" spans="1:33" ht="22.2" customHeight="1" x14ac:dyDescent="0.4">
      <c r="A187" s="20" t="s">
        <v>216</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2"/>
      <c r="AC187" s="125"/>
      <c r="AD187" s="97"/>
      <c r="AE187" s="125">
        <f t="shared" si="20"/>
        <v>0</v>
      </c>
      <c r="AF187" s="128"/>
      <c r="AG187" s="127"/>
    </row>
    <row r="188" spans="1:33" ht="22.2" customHeight="1" x14ac:dyDescent="0.4">
      <c r="A188" s="140" t="s">
        <v>217</v>
      </c>
      <c r="B188" s="137">
        <f t="shared" ref="B188:L188" si="26">B10+B68+B121+B175</f>
        <v>543261071.51287794</v>
      </c>
      <c r="C188" s="137">
        <f t="shared" si="26"/>
        <v>160399687.48427773</v>
      </c>
      <c r="D188" s="137">
        <f t="shared" si="26"/>
        <v>38826050.580174319</v>
      </c>
      <c r="E188" s="137">
        <f t="shared" si="26"/>
        <v>2335378.1800000002</v>
      </c>
      <c r="F188" s="137">
        <f t="shared" si="26"/>
        <v>1390856.2849999999</v>
      </c>
      <c r="G188" s="137">
        <f t="shared" si="26"/>
        <v>12836.678</v>
      </c>
      <c r="H188" s="137">
        <f t="shared" si="26"/>
        <v>33694.612999999998</v>
      </c>
      <c r="I188" s="137">
        <f t="shared" si="26"/>
        <v>282.21499999999997</v>
      </c>
      <c r="J188" s="137">
        <f t="shared" si="26"/>
        <v>7180111.0739999991</v>
      </c>
      <c r="K188" s="137">
        <f t="shared" si="26"/>
        <v>7849256.449</v>
      </c>
      <c r="L188" s="137">
        <f t="shared" si="26"/>
        <v>240784.68</v>
      </c>
      <c r="M188" s="137">
        <f>M175+M121+M68+M10</f>
        <v>486911.30900000001</v>
      </c>
      <c r="N188" s="137">
        <f t="shared" ref="N188:AC188" si="27">N10+N68+N121+N175</f>
        <v>482525.21500000003</v>
      </c>
      <c r="O188" s="137">
        <f t="shared" si="27"/>
        <v>37478.67</v>
      </c>
      <c r="P188" s="137">
        <f t="shared" si="27"/>
        <v>71819.692999999999</v>
      </c>
      <c r="Q188" s="137">
        <f t="shared" si="27"/>
        <v>47838.324000000001</v>
      </c>
      <c r="R188" s="137">
        <f t="shared" si="27"/>
        <v>1073.5150000000001</v>
      </c>
      <c r="S188" s="137">
        <f t="shared" si="27"/>
        <v>1293378.7660000001</v>
      </c>
      <c r="T188" s="137">
        <f t="shared" si="27"/>
        <v>1.7121329999999999</v>
      </c>
      <c r="U188" s="137">
        <f t="shared" si="27"/>
        <v>22749.306189559513</v>
      </c>
      <c r="V188" s="137">
        <f t="shared" si="27"/>
        <v>2508.3259977029493</v>
      </c>
      <c r="W188" s="137">
        <f t="shared" si="27"/>
        <v>225.08100000000002</v>
      </c>
      <c r="X188" s="137">
        <f t="shared" si="27"/>
        <v>2.529E-3</v>
      </c>
      <c r="Y188" s="137">
        <f t="shared" si="27"/>
        <v>80.530882970345999</v>
      </c>
      <c r="Z188" s="137">
        <f t="shared" si="27"/>
        <v>1.686E-3</v>
      </c>
      <c r="AA188" s="137">
        <f t="shared" si="27"/>
        <v>2272.4526112281001</v>
      </c>
      <c r="AB188" s="137">
        <f t="shared" si="27"/>
        <v>278664.09623532102</v>
      </c>
      <c r="AC188" s="137">
        <f t="shared" si="27"/>
        <v>764257536.75259471</v>
      </c>
      <c r="AD188" s="97"/>
      <c r="AE188" s="137">
        <f t="shared" si="20"/>
        <v>764257.53675259475</v>
      </c>
      <c r="AF188" s="91"/>
      <c r="AG188" s="147">
        <f>AG175+AG121+AG68+AG10</f>
        <v>68540.344693908817</v>
      </c>
    </row>
    <row r="189" spans="1:33" ht="22.2" customHeight="1" thickBot="1" x14ac:dyDescent="0.45">
      <c r="A189" s="153"/>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82"/>
      <c r="AC189" s="155"/>
      <c r="AD189" s="41"/>
      <c r="AE189" s="155"/>
      <c r="AF189" s="91"/>
      <c r="AG189" s="83"/>
    </row>
    <row r="190" spans="1:33" ht="22.2" customHeight="1" x14ac:dyDescent="0.4">
      <c r="A190" s="16" t="s">
        <v>218</v>
      </c>
      <c r="B190" s="62">
        <f>B191+B192</f>
        <v>6914065.3300000001</v>
      </c>
      <c r="C190" s="62">
        <f>C191+C192</f>
        <v>1333.0329999999999</v>
      </c>
      <c r="D190" s="62">
        <f>D191+D192</f>
        <v>50464.836199999998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6965863.1991999997</v>
      </c>
      <c r="AD190" s="41"/>
      <c r="AE190" s="37">
        <f t="shared" si="20"/>
        <v>6965.8631992000001</v>
      </c>
      <c r="AF190" s="91"/>
      <c r="AG190" s="37">
        <f>AG191</f>
        <v>97.812200000000004</v>
      </c>
    </row>
    <row r="191" spans="1:33" ht="22.2" customHeight="1" x14ac:dyDescent="0.4">
      <c r="A191" s="25" t="s">
        <v>219</v>
      </c>
      <c r="B191" s="44">
        <v>6914065.3300000001</v>
      </c>
      <c r="C191" s="44">
        <v>1333.0329999999999</v>
      </c>
      <c r="D191" s="44">
        <v>50464.836199999998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6965863.1991999997</v>
      </c>
      <c r="AD191" s="41"/>
      <c r="AE191" s="52">
        <f t="shared" si="20"/>
        <v>6965.8631992000001</v>
      </c>
      <c r="AF191" s="91"/>
      <c r="AG191" s="52">
        <v>97.812200000000004</v>
      </c>
    </row>
    <row r="192" spans="1:33" ht="22.2" customHeight="1" x14ac:dyDescent="0.4">
      <c r="A192" s="26" t="s">
        <v>220</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6"/>
      <c r="AC192" s="126"/>
      <c r="AD192" s="41"/>
      <c r="AE192" s="126"/>
      <c r="AF192" s="91"/>
      <c r="AG192" s="109"/>
    </row>
    <row r="193" spans="1:33" ht="22.2" customHeight="1" x14ac:dyDescent="0.4">
      <c r="A193" s="118" t="s">
        <v>221</v>
      </c>
      <c r="B193" s="161">
        <v>33261855</v>
      </c>
      <c r="C193" s="143"/>
      <c r="D193" s="142"/>
      <c r="E193" s="141"/>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8"/>
      <c r="AC193" s="31">
        <f>SUM(B193:AB193)</f>
        <v>33261855</v>
      </c>
      <c r="AE193" s="31">
        <f t="shared" si="20"/>
        <v>33261.855000000003</v>
      </c>
      <c r="AF193" s="91"/>
      <c r="AG193" s="87"/>
    </row>
    <row r="194" spans="1:33" ht="27.6" customHeight="1" x14ac:dyDescent="0.4">
      <c r="A194" s="88"/>
      <c r="AB194" s="89"/>
    </row>
    <row r="195" spans="1:33" ht="66" customHeight="1" x14ac:dyDescent="0.4">
      <c r="A195" s="17"/>
      <c r="B195" s="146" t="s">
        <v>222</v>
      </c>
      <c r="C195" s="148">
        <v>1</v>
      </c>
      <c r="D195" s="183" t="s">
        <v>223</v>
      </c>
      <c r="E195" s="183"/>
      <c r="F195" s="183"/>
      <c r="G195" s="183"/>
      <c r="H195" s="183"/>
      <c r="I195" s="183"/>
      <c r="J195" s="183"/>
      <c r="K195" s="183"/>
      <c r="L195" s="183"/>
      <c r="M195" s="183"/>
      <c r="N195" s="184"/>
      <c r="AC195" s="90"/>
    </row>
    <row r="196" spans="1:33" ht="37.200000000000003" customHeight="1" x14ac:dyDescent="0.4">
      <c r="B196" s="144"/>
      <c r="C196" s="149">
        <v>2</v>
      </c>
      <c r="D196" s="185" t="s">
        <v>224</v>
      </c>
      <c r="E196" s="185"/>
      <c r="F196" s="185"/>
      <c r="G196" s="185"/>
      <c r="H196" s="185"/>
      <c r="I196" s="185"/>
      <c r="J196" s="185"/>
      <c r="K196" s="185"/>
      <c r="L196" s="185"/>
      <c r="M196" s="185"/>
      <c r="N196" s="186"/>
    </row>
    <row r="197" spans="1:33" ht="42.6" customHeight="1" x14ac:dyDescent="0.4">
      <c r="A197" s="88"/>
      <c r="B197" s="144"/>
      <c r="C197" s="149">
        <v>3</v>
      </c>
      <c r="D197" s="185" t="s">
        <v>225</v>
      </c>
      <c r="E197" s="185"/>
      <c r="F197" s="185"/>
      <c r="G197" s="185"/>
      <c r="H197" s="185"/>
      <c r="I197" s="185"/>
      <c r="J197" s="185"/>
      <c r="K197" s="185"/>
      <c r="L197" s="185"/>
      <c r="M197" s="185"/>
      <c r="N197" s="186"/>
    </row>
    <row r="198" spans="1:33" ht="27.6" customHeight="1" x14ac:dyDescent="0.4">
      <c r="A198" s="88"/>
      <c r="B198" s="144"/>
      <c r="C198" s="149">
        <v>4</v>
      </c>
      <c r="D198" s="185" t="s">
        <v>226</v>
      </c>
      <c r="E198" s="185"/>
      <c r="F198" s="185"/>
      <c r="G198" s="185"/>
      <c r="H198" s="185"/>
      <c r="I198" s="185"/>
      <c r="J198" s="185"/>
      <c r="K198" s="185"/>
      <c r="L198" s="185"/>
      <c r="M198" s="185"/>
      <c r="N198" s="186"/>
    </row>
    <row r="199" spans="1:33" ht="35.25" customHeight="1" thickBot="1" x14ac:dyDescent="0.45">
      <c r="A199" s="88"/>
      <c r="B199" s="145"/>
      <c r="C199" s="150">
        <v>5</v>
      </c>
      <c r="D199" s="187" t="s">
        <v>227</v>
      </c>
      <c r="E199" s="187"/>
      <c r="F199" s="187"/>
      <c r="G199" s="187"/>
      <c r="H199" s="187"/>
      <c r="I199" s="187"/>
      <c r="J199" s="187"/>
      <c r="K199" s="187"/>
      <c r="L199" s="187"/>
      <c r="M199" s="187"/>
      <c r="N199" s="188"/>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A92D-49C6-4B7B-8E1B-4090D47C1F57}">
  <dimension ref="A1:AG200"/>
  <sheetViews>
    <sheetView tabSelected="1" zoomScale="110" zoomScaleNormal="110" workbookViewId="0">
      <pane xSplit="1" topLeftCell="B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6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69"/>
      <c r="B3" s="5">
        <v>2019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70"/>
      <c r="B4" s="171" t="s">
        <v>3</v>
      </c>
      <c r="C4" s="171" t="s">
        <v>4</v>
      </c>
      <c r="D4" s="171" t="s">
        <v>5</v>
      </c>
      <c r="E4" s="165" t="s">
        <v>6</v>
      </c>
      <c r="F4" s="166"/>
      <c r="G4" s="166"/>
      <c r="H4" s="166"/>
      <c r="I4" s="166"/>
      <c r="J4" s="166"/>
      <c r="K4" s="166"/>
      <c r="L4" s="166"/>
      <c r="M4" s="166"/>
      <c r="N4" s="166"/>
      <c r="O4" s="166"/>
      <c r="P4" s="166"/>
      <c r="Q4" s="166"/>
      <c r="R4" s="166"/>
      <c r="S4" s="166"/>
      <c r="T4" s="167"/>
      <c r="U4" s="165" t="s">
        <v>7</v>
      </c>
      <c r="V4" s="166"/>
      <c r="W4" s="166"/>
      <c r="X4" s="166"/>
      <c r="Y4" s="166"/>
      <c r="Z4" s="167"/>
      <c r="AA4" s="173" t="s">
        <v>8</v>
      </c>
      <c r="AB4" s="171" t="s">
        <v>9</v>
      </c>
      <c r="AC4" s="175" t="s">
        <v>10</v>
      </c>
      <c r="AD4" s="91"/>
      <c r="AE4" s="175" t="s">
        <v>11</v>
      </c>
      <c r="AF4" s="91"/>
      <c r="AG4" s="177" t="s">
        <v>12</v>
      </c>
    </row>
    <row r="5" spans="1:33" ht="27.6" customHeight="1" thickBot="1" x14ac:dyDescent="0.45">
      <c r="A5" s="170"/>
      <c r="B5" s="172"/>
      <c r="C5" s="172"/>
      <c r="D5" s="17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74"/>
      <c r="AB5" s="172"/>
      <c r="AC5" s="176"/>
      <c r="AD5" s="91"/>
      <c r="AE5" s="176"/>
      <c r="AF5" s="91"/>
      <c r="AG5" s="178"/>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76"/>
      <c r="AD6" s="92"/>
      <c r="AE6" s="176"/>
      <c r="AF6" s="92"/>
      <c r="AG6" s="179"/>
    </row>
    <row r="7" spans="1:33" ht="27.6" customHeight="1" thickBot="1" x14ac:dyDescent="0.45">
      <c r="A7" s="133" t="s">
        <v>36</v>
      </c>
      <c r="B7" s="134">
        <f>(B10+B68+B121+B175)+(B156+B159+B162+B165+B168)</f>
        <v>560005809.35974181</v>
      </c>
      <c r="C7" s="134">
        <f>C10+C68+C121+C150+C175</f>
        <v>164889820.01536447</v>
      </c>
      <c r="D7" s="134">
        <f>D10+D68+D121+D150+D175</f>
        <v>38630491.435800001</v>
      </c>
      <c r="E7" s="134">
        <f>E68</f>
        <v>1719111.3708159206</v>
      </c>
      <c r="F7" s="134">
        <f t="shared" ref="F7:AB7" si="0">F68</f>
        <v>1738815.095</v>
      </c>
      <c r="G7" s="134">
        <f t="shared" si="0"/>
        <v>3102.067</v>
      </c>
      <c r="H7" s="134">
        <f t="shared" si="0"/>
        <v>37805.667000000001</v>
      </c>
      <c r="I7" s="134">
        <f t="shared" si="0"/>
        <v>280.09800000000001</v>
      </c>
      <c r="J7" s="134">
        <f t="shared" si="0"/>
        <v>7786428.4450000003</v>
      </c>
      <c r="K7" s="134">
        <f t="shared" si="0"/>
        <v>8323654.1260000002</v>
      </c>
      <c r="L7" s="134">
        <f t="shared" si="0"/>
        <v>264512.06599999999</v>
      </c>
      <c r="M7" s="134">
        <f t="shared" si="0"/>
        <v>412785.69500000001</v>
      </c>
      <c r="N7" s="134">
        <f t="shared" si="0"/>
        <v>407737.47</v>
      </c>
      <c r="O7" s="134">
        <f t="shared" si="0"/>
        <v>44179.535000000003</v>
      </c>
      <c r="P7" s="134">
        <f t="shared" si="0"/>
        <v>68946.904999999999</v>
      </c>
      <c r="Q7" s="134">
        <f t="shared" si="0"/>
        <v>58366.137999999999</v>
      </c>
      <c r="R7" s="134">
        <f t="shared" si="0"/>
        <v>4735.4059999999999</v>
      </c>
      <c r="S7" s="134">
        <f t="shared" si="0"/>
        <v>1180910.4269999999</v>
      </c>
      <c r="T7" s="134">
        <f t="shared" si="0"/>
        <v>1.8690795598948033</v>
      </c>
      <c r="U7" s="134">
        <f t="shared" si="0"/>
        <v>23210.733235630425</v>
      </c>
      <c r="V7" s="134">
        <f t="shared" si="0"/>
        <v>2629.5925551153623</v>
      </c>
      <c r="W7" s="134">
        <f t="shared" si="0"/>
        <v>245.71356104968609</v>
      </c>
      <c r="X7" s="134">
        <f t="shared" si="0"/>
        <v>2.7608265286481587E-3</v>
      </c>
      <c r="Y7" s="134">
        <f t="shared" si="0"/>
        <v>87.910030697203581</v>
      </c>
      <c r="Z7" s="134">
        <f t="shared" si="0"/>
        <v>1.8405510190987724E-3</v>
      </c>
      <c r="AA7" s="134">
        <f t="shared" si="0"/>
        <v>2474.4518579856917</v>
      </c>
      <c r="AB7" s="134">
        <f t="shared" si="0"/>
        <v>400915.89561215154</v>
      </c>
      <c r="AC7" s="139">
        <f>SUM(B7:AB7)</f>
        <v>786007057.49225616</v>
      </c>
      <c r="AE7" s="139">
        <f>AC7/1000</f>
        <v>786007.05749225616</v>
      </c>
      <c r="AF7" s="130"/>
      <c r="AG7" s="180">
        <f>AG10+AG68+AG121+AG150+AG175</f>
        <v>70561.802446600544</v>
      </c>
    </row>
    <row r="8" spans="1:33" ht="27.6" customHeight="1" thickBot="1" x14ac:dyDescent="0.45">
      <c r="A8" s="131" t="s">
        <v>37</v>
      </c>
      <c r="B8" s="132">
        <f>(B10+B68+B121+B175)</f>
        <v>535579838.42784184</v>
      </c>
      <c r="C8" s="132">
        <f t="shared" ref="C8:AB8" si="1">(C10+C68+C121+C175)</f>
        <v>164141021.77966449</v>
      </c>
      <c r="D8" s="132">
        <f t="shared" si="1"/>
        <v>38237655.180400006</v>
      </c>
      <c r="E8" s="132">
        <f t="shared" si="1"/>
        <v>1719111.3708159206</v>
      </c>
      <c r="F8" s="132">
        <f t="shared" si="1"/>
        <v>1738815.095</v>
      </c>
      <c r="G8" s="132">
        <f t="shared" si="1"/>
        <v>3102.067</v>
      </c>
      <c r="H8" s="132">
        <f t="shared" si="1"/>
        <v>37805.667000000001</v>
      </c>
      <c r="I8" s="132">
        <f t="shared" si="1"/>
        <v>280.09800000000001</v>
      </c>
      <c r="J8" s="132">
        <f t="shared" si="1"/>
        <v>7786428.4450000003</v>
      </c>
      <c r="K8" s="132">
        <f t="shared" si="1"/>
        <v>8323654.1260000002</v>
      </c>
      <c r="L8" s="132">
        <f t="shared" si="1"/>
        <v>264512.06599999999</v>
      </c>
      <c r="M8" s="132">
        <f t="shared" si="1"/>
        <v>412785.69500000001</v>
      </c>
      <c r="N8" s="132">
        <f t="shared" si="1"/>
        <v>407737.47</v>
      </c>
      <c r="O8" s="132">
        <f t="shared" si="1"/>
        <v>44179.535000000003</v>
      </c>
      <c r="P8" s="132">
        <f t="shared" si="1"/>
        <v>68946.904999999999</v>
      </c>
      <c r="Q8" s="132">
        <f t="shared" si="1"/>
        <v>58366.137999999999</v>
      </c>
      <c r="R8" s="132">
        <f t="shared" si="1"/>
        <v>4735.4059999999999</v>
      </c>
      <c r="S8" s="132">
        <f t="shared" si="1"/>
        <v>1180910.4269999999</v>
      </c>
      <c r="T8" s="132">
        <f t="shared" si="1"/>
        <v>1.8690795598948033</v>
      </c>
      <c r="U8" s="132">
        <f t="shared" si="1"/>
        <v>23210.733235630425</v>
      </c>
      <c r="V8" s="132">
        <f t="shared" si="1"/>
        <v>2629.5925551153623</v>
      </c>
      <c r="W8" s="132">
        <f t="shared" si="1"/>
        <v>245.71356104968609</v>
      </c>
      <c r="X8" s="132">
        <f t="shared" si="1"/>
        <v>2.7608265286481587E-3</v>
      </c>
      <c r="Y8" s="132">
        <f t="shared" si="1"/>
        <v>87.910030697203581</v>
      </c>
      <c r="Z8" s="132">
        <f t="shared" si="1"/>
        <v>1.8405510190987724E-3</v>
      </c>
      <c r="AA8" s="132">
        <f t="shared" si="1"/>
        <v>2474.4518579856917</v>
      </c>
      <c r="AB8" s="132">
        <f t="shared" si="1"/>
        <v>400915.89561215154</v>
      </c>
      <c r="AC8" s="135">
        <f>SUM(B8:AB8)</f>
        <v>760439452.06925619</v>
      </c>
      <c r="AE8" s="135">
        <f>AC8/1000</f>
        <v>760439.45206925622</v>
      </c>
      <c r="AF8" s="130"/>
      <c r="AG8" s="181"/>
    </row>
    <row r="9" spans="1:33" ht="27.6" customHeight="1" thickBot="1" x14ac:dyDescent="0.45">
      <c r="A9" s="136" t="s">
        <v>38</v>
      </c>
      <c r="B9" s="137">
        <f>B10+B68+B121+B150+B175</f>
        <v>352504648.76204187</v>
      </c>
      <c r="C9" s="137">
        <f t="shared" ref="C9:D9" si="2">C10+C68+C121+C150+C175</f>
        <v>164889820.01536447</v>
      </c>
      <c r="D9" s="137">
        <f t="shared" si="2"/>
        <v>38630491.435800001</v>
      </c>
      <c r="E9" s="137">
        <f t="shared" ref="E9:AB9" si="3">E10+E68+E121+E175</f>
        <v>1719111.3708159206</v>
      </c>
      <c r="F9" s="137">
        <f t="shared" si="3"/>
        <v>1738815.095</v>
      </c>
      <c r="G9" s="137">
        <f t="shared" si="3"/>
        <v>3102.067</v>
      </c>
      <c r="H9" s="137">
        <f t="shared" si="3"/>
        <v>37805.667000000001</v>
      </c>
      <c r="I9" s="137">
        <f t="shared" si="3"/>
        <v>280.09800000000001</v>
      </c>
      <c r="J9" s="137">
        <f t="shared" si="3"/>
        <v>7786428.4450000003</v>
      </c>
      <c r="K9" s="137">
        <f t="shared" si="3"/>
        <v>8323654.1260000002</v>
      </c>
      <c r="L9" s="137">
        <f t="shared" si="3"/>
        <v>264512.06599999999</v>
      </c>
      <c r="M9" s="137">
        <f t="shared" si="3"/>
        <v>412785.69500000001</v>
      </c>
      <c r="N9" s="137">
        <f t="shared" si="3"/>
        <v>407737.47</v>
      </c>
      <c r="O9" s="137">
        <f t="shared" si="3"/>
        <v>44179.535000000003</v>
      </c>
      <c r="P9" s="137">
        <f t="shared" si="3"/>
        <v>68946.904999999999</v>
      </c>
      <c r="Q9" s="137">
        <f t="shared" si="3"/>
        <v>58366.137999999999</v>
      </c>
      <c r="R9" s="137">
        <f t="shared" si="3"/>
        <v>4735.4059999999999</v>
      </c>
      <c r="S9" s="137">
        <f t="shared" si="3"/>
        <v>1180910.4269999999</v>
      </c>
      <c r="T9" s="137">
        <f t="shared" si="3"/>
        <v>1.8690795598948033</v>
      </c>
      <c r="U9" s="137">
        <f t="shared" si="3"/>
        <v>23210.733235630425</v>
      </c>
      <c r="V9" s="137">
        <f t="shared" si="3"/>
        <v>2629.5925551153623</v>
      </c>
      <c r="W9" s="137">
        <f t="shared" si="3"/>
        <v>245.71356104968609</v>
      </c>
      <c r="X9" s="137">
        <f t="shared" si="3"/>
        <v>2.7608265286481587E-3</v>
      </c>
      <c r="Y9" s="137">
        <f t="shared" si="3"/>
        <v>87.910030697203581</v>
      </c>
      <c r="Z9" s="137">
        <f t="shared" si="3"/>
        <v>1.8405510190987724E-3</v>
      </c>
      <c r="AA9" s="137">
        <f t="shared" si="3"/>
        <v>2474.4518579856917</v>
      </c>
      <c r="AB9" s="137">
        <f t="shared" si="3"/>
        <v>400915.89561215154</v>
      </c>
      <c r="AC9" s="138">
        <f>SUM(B9:AB9)</f>
        <v>578505896.89455616</v>
      </c>
      <c r="AE9" s="138">
        <f t="shared" ref="AE9:AE72" si="4">AC9/1000</f>
        <v>578505.89689455612</v>
      </c>
      <c r="AF9" s="129"/>
      <c r="AG9" s="182"/>
    </row>
    <row r="10" spans="1:33" ht="22.2" customHeight="1" x14ac:dyDescent="0.4">
      <c r="A10" s="32" t="s">
        <v>39</v>
      </c>
      <c r="B10" s="33">
        <f>B11+B53</f>
        <v>481892360.17288917</v>
      </c>
      <c r="C10" s="33">
        <f>C11+C53</f>
        <v>18096623.217362333</v>
      </c>
      <c r="D10" s="33">
        <f>D11+D53</f>
        <v>2621571.829788805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502610555.22004032</v>
      </c>
      <c r="AD10" s="41"/>
      <c r="AE10" s="57">
        <f t="shared" si="4"/>
        <v>502610.55522004032</v>
      </c>
      <c r="AF10" s="128"/>
      <c r="AG10" s="36">
        <f>AG11+AG53</f>
        <v>64239.544671600539</v>
      </c>
    </row>
    <row r="11" spans="1:33" ht="22.2" customHeight="1" x14ac:dyDescent="0.4">
      <c r="A11" s="20" t="s">
        <v>40</v>
      </c>
      <c r="B11" s="37">
        <f>B12+B18+B43+B49</f>
        <v>469493216.35288918</v>
      </c>
      <c r="C11" s="37">
        <f>C12+C18+C43+C49</f>
        <v>1075185.5073623327</v>
      </c>
      <c r="D11" s="37">
        <f>D12+D18+D43+D49</f>
        <v>2591968.8597888048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473160370.72004032</v>
      </c>
      <c r="AD11" s="41"/>
      <c r="AE11" s="37">
        <f t="shared" si="4"/>
        <v>473160.37072004034</v>
      </c>
      <c r="AF11" s="128"/>
      <c r="AG11" s="37">
        <f>AG12+AG18+AG43+AG49</f>
        <v>58136.296174453491</v>
      </c>
    </row>
    <row r="12" spans="1:33" ht="22.2" customHeight="1" x14ac:dyDescent="0.4">
      <c r="A12" s="20" t="s">
        <v>41</v>
      </c>
      <c r="B12" s="37">
        <f>B13+B14+B15</f>
        <v>202801702.57645491</v>
      </c>
      <c r="C12" s="37">
        <f>C13+C14+C15</f>
        <v>174115.88533873163</v>
      </c>
      <c r="D12" s="37">
        <f>D13+D14+D15</f>
        <v>303602.74283379386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203279421.20462739</v>
      </c>
      <c r="AD12" s="41"/>
      <c r="AE12" s="37">
        <f t="shared" si="4"/>
        <v>203279.4212046274</v>
      </c>
      <c r="AF12" s="128"/>
      <c r="AG12" s="37">
        <f>SUM(AG13:AG15)</f>
        <v>8268.9797619124893</v>
      </c>
    </row>
    <row r="13" spans="1:33" ht="22.2" customHeight="1" x14ac:dyDescent="0.4">
      <c r="A13" s="21" t="s">
        <v>42</v>
      </c>
      <c r="B13" s="44">
        <v>170956119.944837</v>
      </c>
      <c r="C13" s="44">
        <v>157235.78729316499</v>
      </c>
      <c r="D13" s="44">
        <v>284030.706973508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171397386.43910366</v>
      </c>
      <c r="AD13" s="41"/>
      <c r="AE13" s="52">
        <f t="shared" si="4"/>
        <v>171397.38643910366</v>
      </c>
      <c r="AF13" s="128"/>
      <c r="AG13" s="44">
        <v>7280.4047477864897</v>
      </c>
    </row>
    <row r="14" spans="1:33" ht="22.2" customHeight="1" x14ac:dyDescent="0.4">
      <c r="A14" s="21" t="s">
        <v>43</v>
      </c>
      <c r="B14" s="44">
        <v>10238677.9676589</v>
      </c>
      <c r="C14" s="44">
        <v>6498.65088917296</v>
      </c>
      <c r="D14" s="44">
        <v>8833.48521137848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10254010.103759451</v>
      </c>
      <c r="AD14" s="41"/>
      <c r="AE14" s="52">
        <f t="shared" si="4"/>
        <v>10254.01010375945</v>
      </c>
      <c r="AF14" s="128"/>
      <c r="AG14" s="44">
        <v>683.29411447496295</v>
      </c>
    </row>
    <row r="15" spans="1:33" ht="22.2" customHeight="1" x14ac:dyDescent="0.4">
      <c r="A15" s="21" t="s">
        <v>44</v>
      </c>
      <c r="B15" s="49">
        <f>B16+B17</f>
        <v>21606904.663958997</v>
      </c>
      <c r="C15" s="49">
        <f t="shared" ref="C15:D15" si="5">C16+C17</f>
        <v>10381.4471563937</v>
      </c>
      <c r="D15" s="49">
        <f t="shared" si="5"/>
        <v>10738.5506489074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21628024.661764298</v>
      </c>
      <c r="AD15" s="41"/>
      <c r="AE15" s="52">
        <f t="shared" si="4"/>
        <v>21628.024661764299</v>
      </c>
      <c r="AF15" s="128"/>
      <c r="AG15" s="44">
        <v>305.28089965103698</v>
      </c>
    </row>
    <row r="16" spans="1:33" ht="22.2" customHeight="1" x14ac:dyDescent="0.4">
      <c r="A16" s="98" t="s">
        <v>45</v>
      </c>
      <c r="B16" s="44">
        <v>1058014.08</v>
      </c>
      <c r="C16" s="44">
        <v>5.29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1058019.3700000001</v>
      </c>
      <c r="AD16" s="41"/>
      <c r="AE16" s="52">
        <f t="shared" si="4"/>
        <v>1058.0193700000002</v>
      </c>
      <c r="AF16" s="128"/>
      <c r="AG16" s="73"/>
    </row>
    <row r="17" spans="1:33" ht="22.2" customHeight="1" x14ac:dyDescent="0.4">
      <c r="A17" s="99" t="s">
        <v>46</v>
      </c>
      <c r="B17" s="44">
        <v>20548890.583958998</v>
      </c>
      <c r="C17" s="44">
        <v>10376.1571563937</v>
      </c>
      <c r="D17" s="44">
        <v>10738.5506489074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20570005.2917643</v>
      </c>
      <c r="AD17" s="41"/>
      <c r="AE17" s="52">
        <f t="shared" si="4"/>
        <v>20570.005291764301</v>
      </c>
      <c r="AF17" s="128"/>
      <c r="AG17" s="44">
        <v>305.28089965103698</v>
      </c>
    </row>
    <row r="18" spans="1:33" ht="22.2" customHeight="1" x14ac:dyDescent="0.4">
      <c r="A18" s="20" t="s">
        <v>47</v>
      </c>
      <c r="B18" s="37">
        <f>B19+B20+B21+B25+B26+B33+B35+B37+B39</f>
        <v>66132166.047434285</v>
      </c>
      <c r="C18" s="37">
        <f>C19+C20+C21+C25+C26+C33+C35+C37+C39</f>
        <v>113382.38692360124</v>
      </c>
      <c r="D18" s="37">
        <f>D19+D20+D21+D25+D26+D33+D35+D37+D39</f>
        <v>153715.8190550112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66399264.253412902</v>
      </c>
      <c r="AD18" s="110"/>
      <c r="AE18" s="37">
        <f t="shared" si="4"/>
        <v>66399.264253412897</v>
      </c>
      <c r="AF18" s="128"/>
      <c r="AG18" s="37">
        <f>SUM(AG19,AG20,AG21,AG25,AG26,AG32,AG33,AG34,AG35,AG36,AG37,AG38,AG39)</f>
        <v>802.28701404100354</v>
      </c>
    </row>
    <row r="19" spans="1:33" ht="22.2" customHeight="1" x14ac:dyDescent="0.4">
      <c r="A19" s="100" t="s">
        <v>48</v>
      </c>
      <c r="B19" s="44">
        <v>7520596.6368462471</v>
      </c>
      <c r="C19" s="44">
        <v>3696.8937212968249</v>
      </c>
      <c r="D19" s="44">
        <v>3585.7421053212274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7527879.2726728646</v>
      </c>
      <c r="AD19" s="110"/>
      <c r="AE19" s="44">
        <f t="shared" si="4"/>
        <v>7527.8792726728643</v>
      </c>
      <c r="AF19" s="128"/>
      <c r="AG19" s="44">
        <v>23.914089581579773</v>
      </c>
    </row>
    <row r="20" spans="1:33" ht="22.2" customHeight="1" x14ac:dyDescent="0.4">
      <c r="A20" s="100" t="s">
        <v>49</v>
      </c>
      <c r="B20" s="44">
        <v>2104908.955845756</v>
      </c>
      <c r="C20" s="44">
        <v>1324.1941281965344</v>
      </c>
      <c r="D20" s="44">
        <v>1818.8074682930514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2108051.9574422459</v>
      </c>
      <c r="AD20" s="110"/>
      <c r="AE20" s="52">
        <f t="shared" si="4"/>
        <v>2108.051957442246</v>
      </c>
      <c r="AF20" s="128"/>
      <c r="AG20" s="44">
        <v>12.53705227089862</v>
      </c>
    </row>
    <row r="21" spans="1:33" ht="22.2" customHeight="1" x14ac:dyDescent="0.4">
      <c r="A21" s="100" t="s">
        <v>50</v>
      </c>
      <c r="B21" s="44">
        <f>SUM(B22:B24)</f>
        <v>6708602.7617643038</v>
      </c>
      <c r="C21" s="44">
        <f>SUM(C22:C24)</f>
        <v>3505.2657038816515</v>
      </c>
      <c r="D21" s="44">
        <f>SUM(D22:D24)</f>
        <v>3741.759997051809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6715849.787465238</v>
      </c>
      <c r="AD21" s="110"/>
      <c r="AE21" s="52">
        <f t="shared" si="4"/>
        <v>6715.8497874652376</v>
      </c>
      <c r="AF21" s="128"/>
      <c r="AG21" s="44">
        <v>23.018640315271639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6680006.5781832477</v>
      </c>
      <c r="C23" s="44">
        <v>3482.1348310300855</v>
      </c>
      <c r="D23" s="44">
        <v>3704.734059154202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6687193.4470734317</v>
      </c>
      <c r="AD23" s="110"/>
      <c r="AE23" s="52">
        <f t="shared" si="4"/>
        <v>6687.1934470734313</v>
      </c>
      <c r="AF23" s="128"/>
      <c r="AG23" s="44">
        <v>22.916087091999167</v>
      </c>
    </row>
    <row r="24" spans="1:33" ht="22.2" customHeight="1" x14ac:dyDescent="0.4">
      <c r="A24" s="99" t="s">
        <v>53</v>
      </c>
      <c r="B24" s="44">
        <v>28596.183581055771</v>
      </c>
      <c r="C24" s="44">
        <v>23.130872851566085</v>
      </c>
      <c r="D24" s="44">
        <v>37.025937897607236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28656.340391804944</v>
      </c>
      <c r="AD24" s="110"/>
      <c r="AE24" s="52">
        <f t="shared" si="4"/>
        <v>28.656340391804946</v>
      </c>
      <c r="AF24" s="128"/>
      <c r="AG24" s="44">
        <v>0.10255322327247456</v>
      </c>
    </row>
    <row r="25" spans="1:33" ht="22.2" customHeight="1" x14ac:dyDescent="0.4">
      <c r="A25" s="100" t="s">
        <v>54</v>
      </c>
      <c r="B25" s="44">
        <v>2953969.4854128407</v>
      </c>
      <c r="C25" s="44">
        <v>1674.9267823353043</v>
      </c>
      <c r="D25" s="44">
        <v>2004.1143410610659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2957648.526536237</v>
      </c>
      <c r="AD25" s="110"/>
      <c r="AE25" s="52">
        <f t="shared" si="4"/>
        <v>2957.6485265362371</v>
      </c>
      <c r="AF25" s="128"/>
      <c r="AG25" s="44">
        <v>22.625990710845212</v>
      </c>
    </row>
    <row r="26" spans="1:33" ht="22.2" customHeight="1" x14ac:dyDescent="0.4">
      <c r="A26" s="100" t="s">
        <v>55</v>
      </c>
      <c r="B26" s="44">
        <f>SUM(B27:B31)</f>
        <v>749927.758513949</v>
      </c>
      <c r="C26" s="44">
        <f>SUM(C27:C31)</f>
        <v>36004.915525964592</v>
      </c>
      <c r="D26" s="44">
        <f>SUM(D27:D31)</f>
        <v>45675.706040535129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831608.3800804487</v>
      </c>
      <c r="AD26" s="110"/>
      <c r="AE26" s="52">
        <f t="shared" si="4"/>
        <v>831.60838008044868</v>
      </c>
      <c r="AF26" s="128"/>
      <c r="AG26" s="44">
        <v>463.94931334206183</v>
      </c>
    </row>
    <row r="27" spans="1:33" ht="22.2" customHeight="1" x14ac:dyDescent="0.4">
      <c r="A27" s="99" t="s">
        <v>56</v>
      </c>
      <c r="B27" s="44">
        <v>0</v>
      </c>
      <c r="C27" s="44">
        <v>35387.401313274866</v>
      </c>
      <c r="D27" s="44">
        <v>44655.530228656375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80042.931541931233</v>
      </c>
      <c r="AD27" s="110"/>
      <c r="AE27" s="52">
        <f t="shared" si="4"/>
        <v>80.042931541931239</v>
      </c>
      <c r="AF27" s="128"/>
      <c r="AG27" s="44">
        <v>459.61493848551044</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710885.51777028257</v>
      </c>
      <c r="C29" s="44">
        <v>576.15490843414989</v>
      </c>
      <c r="D29" s="44">
        <v>941.88855739498842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712403.56123611168</v>
      </c>
      <c r="AD29" s="110"/>
      <c r="AE29" s="52">
        <f t="shared" si="4"/>
        <v>712.40356123611173</v>
      </c>
      <c r="AF29" s="128"/>
      <c r="AG29" s="44">
        <v>2.2457658609444291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39042.240743666429</v>
      </c>
      <c r="C31" s="44">
        <v>41.359304255576177</v>
      </c>
      <c r="D31" s="44">
        <v>78.287254483769189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39161.887302405768</v>
      </c>
      <c r="AD31" s="110"/>
      <c r="AE31" s="52">
        <f t="shared" si="4"/>
        <v>39.161887302405766</v>
      </c>
      <c r="AF31" s="128"/>
      <c r="AG31" s="44">
        <v>2.0886089956069811</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665922.88630978705</v>
      </c>
      <c r="C33" s="44">
        <v>385.37572518559659</v>
      </c>
      <c r="D33" s="44">
        <v>473.13006202440636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666781.39209699712</v>
      </c>
      <c r="AD33" s="110"/>
      <c r="AE33" s="52">
        <f t="shared" si="4"/>
        <v>666.78139209699714</v>
      </c>
      <c r="AF33" s="128"/>
      <c r="AG33" s="44">
        <v>1.9747584911466183</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11664373.78592349</v>
      </c>
      <c r="C35" s="44">
        <v>12754.533581443649</v>
      </c>
      <c r="D35" s="44">
        <v>21386.030631142072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11698514.350136075</v>
      </c>
      <c r="AD35" s="110"/>
      <c r="AE35" s="52">
        <f t="shared" si="4"/>
        <v>11698.514350136074</v>
      </c>
      <c r="AF35" s="128"/>
      <c r="AG35" s="44">
        <v>67.10281597618706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488936.62221597915</v>
      </c>
      <c r="C37" s="44">
        <v>563.76447724769764</v>
      </c>
      <c r="D37" s="44">
        <v>1067.1256176474276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490567.5123108743</v>
      </c>
      <c r="AD37" s="110"/>
      <c r="AE37" s="52">
        <f t="shared" si="4"/>
        <v>490.56751231087429</v>
      </c>
      <c r="AF37" s="128"/>
      <c r="AG37" s="44">
        <v>2.1665717232042376</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33274927.154601932</v>
      </c>
      <c r="C39" s="44">
        <f>SUM(C40:C42)</f>
        <v>53472.517278049396</v>
      </c>
      <c r="D39" s="44">
        <f>SUM(D40:D42)</f>
        <v>73963.402791935005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33402363.074671917</v>
      </c>
      <c r="AD39" s="110"/>
      <c r="AE39" s="52">
        <f t="shared" si="4"/>
        <v>33402.363074671914</v>
      </c>
      <c r="AF39" s="128"/>
      <c r="AG39" s="44">
        <v>184.99778162980866</v>
      </c>
    </row>
    <row r="40" spans="1:33" ht="22.2" customHeight="1" x14ac:dyDescent="0.4">
      <c r="A40" s="99" t="s">
        <v>69</v>
      </c>
      <c r="B40" s="44">
        <v>2761981.6138103111</v>
      </c>
      <c r="C40" s="44">
        <v>1358.4371596526178</v>
      </c>
      <c r="D40" s="44">
        <v>1319.5734807710264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2764659.6244507348</v>
      </c>
      <c r="AD40" s="110"/>
      <c r="AE40" s="52">
        <f t="shared" si="4"/>
        <v>2764.659624450735</v>
      </c>
      <c r="AF40" s="128"/>
      <c r="AG40" s="44">
        <v>8.6263785318395723</v>
      </c>
    </row>
    <row r="41" spans="1:33" ht="22.2" customHeight="1" x14ac:dyDescent="0.4">
      <c r="A41" s="99" t="s">
        <v>70</v>
      </c>
      <c r="B41" s="44">
        <v>547766.58242493705</v>
      </c>
      <c r="C41" s="44">
        <v>389.92220505041786</v>
      </c>
      <c r="D41" s="44">
        <v>574.1533208483163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548730.65795083588</v>
      </c>
      <c r="AD41" s="110"/>
      <c r="AE41" s="52">
        <f t="shared" si="4"/>
        <v>548.73065795083585</v>
      </c>
      <c r="AF41" s="128"/>
      <c r="AG41" s="44">
        <v>3.2510177500536823</v>
      </c>
    </row>
    <row r="42" spans="1:33" ht="22.2" customHeight="1" x14ac:dyDescent="0.4">
      <c r="A42" s="99" t="s">
        <v>71</v>
      </c>
      <c r="B42" s="44">
        <v>29965178.958366685</v>
      </c>
      <c r="C42" s="44">
        <v>51724.15791334636</v>
      </c>
      <c r="D42" s="44">
        <v>72069.675990315664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30088972.792270347</v>
      </c>
      <c r="AD42" s="110"/>
      <c r="AE42" s="52">
        <f t="shared" si="4"/>
        <v>30088.972792270346</v>
      </c>
      <c r="AF42" s="128"/>
      <c r="AG42" s="44">
        <v>173.1203853479154</v>
      </c>
    </row>
    <row r="43" spans="1:33" ht="22.2" customHeight="1" x14ac:dyDescent="0.4">
      <c r="A43" s="20" t="s">
        <v>72</v>
      </c>
      <c r="B43" s="37">
        <f>SUM(B44:B48)</f>
        <v>168808925.58899999</v>
      </c>
      <c r="C43" s="37">
        <f>SUM(C44:C48)</f>
        <v>429220.31509999989</v>
      </c>
      <c r="D43" s="37">
        <f>SUM(D44:D48)</f>
        <v>1760370.5678999999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170998516.472</v>
      </c>
      <c r="AD43" s="41"/>
      <c r="AE43" s="37">
        <f t="shared" si="4"/>
        <v>170998.51647199999</v>
      </c>
      <c r="AF43" s="128"/>
      <c r="AG43" s="37">
        <f>SUM(AG44:AG48)</f>
        <v>13226.0993985</v>
      </c>
    </row>
    <row r="44" spans="1:33" ht="22.2" customHeight="1" x14ac:dyDescent="0.4">
      <c r="A44" s="100" t="s">
        <v>73</v>
      </c>
      <c r="B44" s="44">
        <v>8633425.3910000008</v>
      </c>
      <c r="C44" s="44">
        <v>1664.5264</v>
      </c>
      <c r="D44" s="44">
        <v>63014.214800000002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8698104.1322000008</v>
      </c>
      <c r="AD44" s="41"/>
      <c r="AE44" s="52">
        <f t="shared" si="4"/>
        <v>8698.1041322000001</v>
      </c>
      <c r="AF44" s="128"/>
      <c r="AG44" s="44">
        <v>122.1356985</v>
      </c>
    </row>
    <row r="45" spans="1:33" ht="22.2" customHeight="1" x14ac:dyDescent="0.4">
      <c r="A45" s="100" t="s">
        <v>74</v>
      </c>
      <c r="B45" s="44">
        <v>157005227.47999999</v>
      </c>
      <c r="C45" s="44">
        <v>420729.52269999997</v>
      </c>
      <c r="D45" s="44">
        <v>1527695.6228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158953652.62549999</v>
      </c>
      <c r="AD45" s="41"/>
      <c r="AE45" s="52">
        <f t="shared" si="4"/>
        <v>158953.65262549999</v>
      </c>
      <c r="AF45" s="128"/>
      <c r="AG45" s="44">
        <v>12977.6</v>
      </c>
    </row>
    <row r="46" spans="1:33" ht="22.2" customHeight="1" x14ac:dyDescent="0.4">
      <c r="A46" s="100" t="s">
        <v>75</v>
      </c>
      <c r="B46" s="44">
        <v>1516242.72</v>
      </c>
      <c r="C46" s="44">
        <v>2418.4699999999998</v>
      </c>
      <c r="D46" s="44">
        <v>157741.69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1676402.88</v>
      </c>
      <c r="AD46" s="41"/>
      <c r="AE46" s="52">
        <f t="shared" si="4"/>
        <v>1676.4028799999999</v>
      </c>
      <c r="AF46" s="128"/>
      <c r="AG46" s="44">
        <v>35.75</v>
      </c>
    </row>
    <row r="47" spans="1:33" ht="22.2" customHeight="1" x14ac:dyDescent="0.4">
      <c r="A47" s="100" t="s">
        <v>76</v>
      </c>
      <c r="B47" s="44">
        <v>1654029.9979999999</v>
      </c>
      <c r="C47" s="44">
        <v>4407.7960000000003</v>
      </c>
      <c r="D47" s="44">
        <v>11919.040300000001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1670356.8343</v>
      </c>
      <c r="AD47" s="41"/>
      <c r="AE47" s="52">
        <f t="shared" si="4"/>
        <v>1670.3568342999999</v>
      </c>
      <c r="AF47" s="128"/>
      <c r="AG47" s="44">
        <v>90.613699999999994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31750422.140000001</v>
      </c>
      <c r="C49" s="37">
        <f>SUM(C50:C52)</f>
        <v>358466.92</v>
      </c>
      <c r="D49" s="37">
        <f>SUM(D50:D52)</f>
        <v>374279.73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32483168.790000003</v>
      </c>
      <c r="AD49" s="41"/>
      <c r="AE49" s="37">
        <f t="shared" si="4"/>
        <v>32483.168790000003</v>
      </c>
      <c r="AF49" s="128"/>
      <c r="AG49" s="37">
        <f>SUM(AG50:AG52)</f>
        <v>35838.93</v>
      </c>
    </row>
    <row r="50" spans="1:33" ht="22.2" customHeight="1" x14ac:dyDescent="0.4">
      <c r="A50" s="100" t="s">
        <v>79</v>
      </c>
      <c r="B50" s="44">
        <v>4086764.37</v>
      </c>
      <c r="C50" s="44">
        <v>9087.9699999999993</v>
      </c>
      <c r="D50" s="44">
        <v>1792.58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4097644.9200000004</v>
      </c>
      <c r="AD50" s="41"/>
      <c r="AE50" s="52">
        <f t="shared" si="4"/>
        <v>4097.6449200000006</v>
      </c>
      <c r="AF50" s="128"/>
      <c r="AG50" s="44">
        <v>1881.63</v>
      </c>
    </row>
    <row r="51" spans="1:33" ht="22.2" customHeight="1" x14ac:dyDescent="0.4">
      <c r="A51" s="100" t="s">
        <v>80</v>
      </c>
      <c r="B51" s="44">
        <v>16241202.26</v>
      </c>
      <c r="C51" s="44">
        <v>305960.14</v>
      </c>
      <c r="D51" s="44">
        <v>348063.92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16895226.32</v>
      </c>
      <c r="AD51" s="41"/>
      <c r="AE51" s="52">
        <f t="shared" si="4"/>
        <v>16895.226320000002</v>
      </c>
      <c r="AF51" s="128"/>
      <c r="AG51" s="44">
        <v>33714.65</v>
      </c>
    </row>
    <row r="52" spans="1:33" ht="22.2" customHeight="1" x14ac:dyDescent="0.4">
      <c r="A52" s="100" t="s">
        <v>81</v>
      </c>
      <c r="B52" s="44">
        <v>11422455.51</v>
      </c>
      <c r="C52" s="44">
        <v>43418.81</v>
      </c>
      <c r="D52" s="44">
        <v>24423.23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11490297.550000001</v>
      </c>
      <c r="AD52" s="41"/>
      <c r="AE52" s="52">
        <f t="shared" si="4"/>
        <v>11490.297550000001</v>
      </c>
      <c r="AF52" s="128"/>
      <c r="AG52" s="44">
        <v>242.65</v>
      </c>
    </row>
    <row r="53" spans="1:33" ht="22.2" customHeight="1" x14ac:dyDescent="0.4">
      <c r="A53" s="13" t="s">
        <v>82</v>
      </c>
      <c r="B53" s="37">
        <f>B54+B59</f>
        <v>12399143.82</v>
      </c>
      <c r="C53" s="37">
        <f>C54+C59</f>
        <v>17021437.710000001</v>
      </c>
      <c r="D53" s="37">
        <f>D54+D59</f>
        <v>29602.969999999998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29450184.5</v>
      </c>
      <c r="AD53" s="41"/>
      <c r="AE53" s="37">
        <f t="shared" si="4"/>
        <v>29450.184499999999</v>
      </c>
      <c r="AF53" s="128"/>
      <c r="AG53" s="37">
        <f>AG54+AG59</f>
        <v>6103.2484971470503</v>
      </c>
    </row>
    <row r="54" spans="1:33" ht="22.2" customHeight="1" x14ac:dyDescent="0.4">
      <c r="A54" s="20" t="s">
        <v>83</v>
      </c>
      <c r="B54" s="37">
        <f>B55+B58</f>
        <v>42133.09</v>
      </c>
      <c r="C54" s="37">
        <f>C55+C58</f>
        <v>1481945.1900000002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1524078.2800000003</v>
      </c>
      <c r="AD54" s="41"/>
      <c r="AE54" s="37">
        <f t="shared" si="4"/>
        <v>1524.0782800000002</v>
      </c>
      <c r="AF54" s="128"/>
      <c r="AG54" s="76"/>
    </row>
    <row r="55" spans="1:33" ht="22.2" customHeight="1" x14ac:dyDescent="0.4">
      <c r="A55" s="101" t="s">
        <v>84</v>
      </c>
      <c r="B55" s="52">
        <f>B56+B57</f>
        <v>42133.09</v>
      </c>
      <c r="C55" s="52">
        <f>C56+C57</f>
        <v>1481945.1900000002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1524078.2800000003</v>
      </c>
      <c r="AD55" s="41"/>
      <c r="AE55" s="44">
        <f t="shared" si="4"/>
        <v>1524.0782800000002</v>
      </c>
      <c r="AF55" s="128"/>
      <c r="AG55" s="73"/>
    </row>
    <row r="56" spans="1:33" ht="22.2" customHeight="1" x14ac:dyDescent="0.4">
      <c r="A56" s="100" t="s">
        <v>85</v>
      </c>
      <c r="B56" s="44">
        <v>40125.64</v>
      </c>
      <c r="C56" s="44">
        <v>1421473.83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1461599.47</v>
      </c>
      <c r="AD56" s="41"/>
      <c r="AE56" s="52">
        <f t="shared" si="4"/>
        <v>1461.5994699999999</v>
      </c>
      <c r="AF56" s="128"/>
      <c r="AG56" s="73"/>
    </row>
    <row r="57" spans="1:33" ht="22.2" customHeight="1" x14ac:dyDescent="0.4">
      <c r="A57" s="100" t="s">
        <v>86</v>
      </c>
      <c r="B57" s="44">
        <v>2007.45</v>
      </c>
      <c r="C57" s="44">
        <v>60471.360000000001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62478.81</v>
      </c>
      <c r="AD57" s="41"/>
      <c r="AE57" s="52">
        <f t="shared" si="4"/>
        <v>62.478809999999996</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12357010.73</v>
      </c>
      <c r="C59" s="37">
        <f t="shared" ref="C59:D59" si="8">C60+C64</f>
        <v>15539492.52</v>
      </c>
      <c r="D59" s="37">
        <f t="shared" si="8"/>
        <v>29602.969999999998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27926106.219999999</v>
      </c>
      <c r="AD59" s="41"/>
      <c r="AE59" s="37">
        <f t="shared" si="4"/>
        <v>27926.106219999998</v>
      </c>
      <c r="AF59" s="128"/>
      <c r="AG59" s="53">
        <f>SUM(AG60:AG66)</f>
        <v>6103.2484971470503</v>
      </c>
    </row>
    <row r="60" spans="1:33" ht="22.2" customHeight="1" x14ac:dyDescent="0.4">
      <c r="A60" s="100" t="s">
        <v>89</v>
      </c>
      <c r="B60" s="49">
        <f>SUM(B61,B62,B63)</f>
        <v>9621439.5700000003</v>
      </c>
      <c r="C60" s="49">
        <f t="shared" ref="C60:D60" si="9">SUM(C61,C62,C63)</f>
        <v>8629514.7300000004</v>
      </c>
      <c r="D60" s="49">
        <f t="shared" si="9"/>
        <v>29565.21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18280519.510000002</v>
      </c>
      <c r="AD60" s="41"/>
      <c r="AE60" s="52">
        <f t="shared" si="4"/>
        <v>18280.519510000002</v>
      </c>
      <c r="AF60" s="128"/>
      <c r="AG60" s="111"/>
    </row>
    <row r="61" spans="1:33" ht="22.2" customHeight="1" x14ac:dyDescent="0.4">
      <c r="A61" s="102" t="s">
        <v>90</v>
      </c>
      <c r="B61" s="44">
        <v>2936033.93</v>
      </c>
      <c r="C61" s="44">
        <v>3718147.93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6654181.8600000003</v>
      </c>
      <c r="AD61" s="41"/>
      <c r="AE61" s="52">
        <f t="shared" si="4"/>
        <v>6654.1818600000006</v>
      </c>
      <c r="AF61" s="128"/>
      <c r="AG61" s="109"/>
    </row>
    <row r="62" spans="1:33" ht="22.2" customHeight="1" x14ac:dyDescent="0.4">
      <c r="A62" s="102" t="s">
        <v>91</v>
      </c>
      <c r="B62" s="44">
        <v>6651999.4199999999</v>
      </c>
      <c r="C62" s="44">
        <v>4797769.2</v>
      </c>
      <c r="D62" s="44">
        <v>29565.21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11479333.830000002</v>
      </c>
      <c r="AD62" s="41"/>
      <c r="AE62" s="52">
        <f t="shared" si="4"/>
        <v>11479.333830000001</v>
      </c>
      <c r="AF62" s="128"/>
      <c r="AG62" s="44">
        <v>6103.2484971470503</v>
      </c>
    </row>
    <row r="63" spans="1:33" ht="22.2" customHeight="1" x14ac:dyDescent="0.4">
      <c r="A63" s="102" t="s">
        <v>92</v>
      </c>
      <c r="B63" s="44">
        <v>33406.22</v>
      </c>
      <c r="C63" s="44">
        <v>113597.6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147003.82</v>
      </c>
      <c r="AD63" s="41"/>
      <c r="AE63" s="52">
        <f t="shared" si="4"/>
        <v>147.00382000000002</v>
      </c>
      <c r="AF63" s="128"/>
      <c r="AG63" s="109"/>
    </row>
    <row r="64" spans="1:33" ht="22.2" customHeight="1" x14ac:dyDescent="0.4">
      <c r="A64" s="103" t="s">
        <v>93</v>
      </c>
      <c r="B64" s="49">
        <f>SUM(B65,B66,B67)</f>
        <v>2735571.1599999997</v>
      </c>
      <c r="C64" s="49">
        <f t="shared" ref="C64:D64" si="11">SUM(C65,C66,C67)</f>
        <v>6909977.7899999991</v>
      </c>
      <c r="D64" s="49">
        <f t="shared" si="11"/>
        <v>37.76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9645586.709999999</v>
      </c>
      <c r="AD64" s="41"/>
      <c r="AE64" s="52">
        <f t="shared" si="4"/>
        <v>9645.5867099999996</v>
      </c>
      <c r="AF64" s="128"/>
      <c r="AG64" s="109"/>
    </row>
    <row r="65" spans="1:33" ht="22.2" customHeight="1" x14ac:dyDescent="0.4">
      <c r="A65" s="102" t="s">
        <v>94</v>
      </c>
      <c r="B65" s="44">
        <v>1560780.39</v>
      </c>
      <c r="C65" s="44">
        <v>2584094.88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4144875.2699999996</v>
      </c>
      <c r="AD65" s="41"/>
      <c r="AE65" s="52">
        <f t="shared" si="4"/>
        <v>4144.8752699999995</v>
      </c>
      <c r="AF65" s="128"/>
      <c r="AG65" s="112"/>
    </row>
    <row r="66" spans="1:33" ht="22.2" customHeight="1" x14ac:dyDescent="0.4">
      <c r="A66" s="102" t="s">
        <v>95</v>
      </c>
      <c r="B66" s="44">
        <v>1171885.18</v>
      </c>
      <c r="C66" s="44">
        <v>1641430.8</v>
      </c>
      <c r="D66" s="44">
        <v>37.76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2813353.7399999998</v>
      </c>
      <c r="AD66" s="41"/>
      <c r="AE66" s="52">
        <f t="shared" si="4"/>
        <v>2813.3537399999996</v>
      </c>
      <c r="AF66" s="128"/>
      <c r="AG66" s="112"/>
    </row>
    <row r="67" spans="1:33" ht="22.2" customHeight="1" thickBot="1" x14ac:dyDescent="0.45">
      <c r="A67" s="102" t="s">
        <v>96</v>
      </c>
      <c r="B67" s="44">
        <v>2905.59</v>
      </c>
      <c r="C67" s="44">
        <v>2684452.11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2687357.6999999997</v>
      </c>
      <c r="AD67" s="41"/>
      <c r="AE67" s="116">
        <f t="shared" si="4"/>
        <v>2687.3576999999996</v>
      </c>
      <c r="AF67" s="128"/>
      <c r="AG67" s="112"/>
    </row>
    <row r="68" spans="1:33" ht="22.2" customHeight="1" x14ac:dyDescent="0.4">
      <c r="A68" s="12" t="s">
        <v>97</v>
      </c>
      <c r="B68" s="33">
        <f>B69+B75+B86+B94+B99+B105+B112+B117</f>
        <v>50622969.870952696</v>
      </c>
      <c r="C68" s="33">
        <f t="shared" ref="C68:AC68" si="12">C69+C75+C86+C94+C99+C105+C112+C117</f>
        <v>240112.52916000001</v>
      </c>
      <c r="D68" s="33">
        <f t="shared" si="12"/>
        <v>653686.91464819876</v>
      </c>
      <c r="E68" s="34">
        <f t="shared" si="12"/>
        <v>1719111.3708159206</v>
      </c>
      <c r="F68" s="34">
        <f t="shared" si="12"/>
        <v>1738815.095</v>
      </c>
      <c r="G68" s="34">
        <f t="shared" si="12"/>
        <v>3102.067</v>
      </c>
      <c r="H68" s="34">
        <f t="shared" si="12"/>
        <v>37805.667000000001</v>
      </c>
      <c r="I68" s="34">
        <f t="shared" si="12"/>
        <v>280.09800000000001</v>
      </c>
      <c r="J68" s="34">
        <f t="shared" si="12"/>
        <v>7786428.4450000003</v>
      </c>
      <c r="K68" s="34">
        <f t="shared" si="12"/>
        <v>8323654.1260000002</v>
      </c>
      <c r="L68" s="34">
        <f t="shared" si="12"/>
        <v>264512.06599999999</v>
      </c>
      <c r="M68" s="34">
        <f t="shared" si="12"/>
        <v>412785.69500000001</v>
      </c>
      <c r="N68" s="34">
        <f t="shared" si="12"/>
        <v>407737.47</v>
      </c>
      <c r="O68" s="34">
        <f t="shared" si="12"/>
        <v>44179.535000000003</v>
      </c>
      <c r="P68" s="34">
        <f t="shared" si="12"/>
        <v>68946.904999999999</v>
      </c>
      <c r="Q68" s="34">
        <f t="shared" si="12"/>
        <v>58366.137999999999</v>
      </c>
      <c r="R68" s="34">
        <f t="shared" si="12"/>
        <v>4735.4059999999999</v>
      </c>
      <c r="S68" s="34">
        <f t="shared" si="12"/>
        <v>1180910.4269999999</v>
      </c>
      <c r="T68" s="34">
        <f t="shared" si="12"/>
        <v>1.8690795598948033</v>
      </c>
      <c r="U68" s="34">
        <f t="shared" si="12"/>
        <v>23210.733235630425</v>
      </c>
      <c r="V68" s="34">
        <f t="shared" si="12"/>
        <v>2629.5925551153623</v>
      </c>
      <c r="W68" s="34">
        <f t="shared" si="12"/>
        <v>245.71356104968609</v>
      </c>
      <c r="X68" s="34">
        <f t="shared" si="12"/>
        <v>2.7608265286481587E-3</v>
      </c>
      <c r="Y68" s="34">
        <f t="shared" si="12"/>
        <v>87.910030697203581</v>
      </c>
      <c r="Z68" s="34">
        <f t="shared" si="12"/>
        <v>1.8405510190987724E-3</v>
      </c>
      <c r="AA68" s="34">
        <f t="shared" si="12"/>
        <v>2474.4518579856917</v>
      </c>
      <c r="AB68" s="120">
        <f t="shared" si="12"/>
        <v>400915.89561215154</v>
      </c>
      <c r="AC68" s="57">
        <f t="shared" si="12"/>
        <v>73997705.996110395</v>
      </c>
      <c r="AD68" s="93"/>
      <c r="AE68" s="57">
        <f t="shared" si="4"/>
        <v>73997.705996110395</v>
      </c>
      <c r="AF68" s="128"/>
      <c r="AG68" s="57"/>
    </row>
    <row r="69" spans="1:33" ht="22.2" customHeight="1" x14ac:dyDescent="0.4">
      <c r="A69" s="20" t="s">
        <v>98</v>
      </c>
      <c r="B69" s="53">
        <f>SUM(B70:B74)</f>
        <v>30918586.97125813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30918586.97125813</v>
      </c>
      <c r="AD69" s="41"/>
      <c r="AE69" s="37">
        <f t="shared" si="4"/>
        <v>30918.58697125813</v>
      </c>
      <c r="AF69" s="128"/>
      <c r="AG69" s="76"/>
    </row>
    <row r="70" spans="1:33" ht="22.2" customHeight="1" x14ac:dyDescent="0.4">
      <c r="A70" s="100" t="s">
        <v>99</v>
      </c>
      <c r="B70" s="44">
        <v>19411143.680800002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19411143.680800002</v>
      </c>
      <c r="AD70" s="41"/>
      <c r="AE70" s="52">
        <f t="shared" si="4"/>
        <v>19411.143680800003</v>
      </c>
      <c r="AF70" s="128"/>
      <c r="AG70" s="111"/>
    </row>
    <row r="71" spans="1:33" ht="22.2" customHeight="1" x14ac:dyDescent="0.4">
      <c r="A71" s="100" t="s">
        <v>100</v>
      </c>
      <c r="B71" s="44">
        <v>4071177.9309910526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4071177.9309910526</v>
      </c>
      <c r="AD71" s="41"/>
      <c r="AE71" s="52">
        <f t="shared" si="4"/>
        <v>4071.1779309910526</v>
      </c>
      <c r="AF71" s="128"/>
      <c r="AG71" s="111"/>
    </row>
    <row r="72" spans="1:33" ht="22.2" customHeight="1" x14ac:dyDescent="0.4">
      <c r="A72" s="100" t="s">
        <v>101</v>
      </c>
      <c r="B72" s="44">
        <v>1148018.148787223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1148018.148787223</v>
      </c>
      <c r="AD72" s="41"/>
      <c r="AE72" s="52">
        <f t="shared" si="4"/>
        <v>1148.018148787223</v>
      </c>
      <c r="AF72" s="128"/>
      <c r="AG72" s="111"/>
    </row>
    <row r="73" spans="1:33" ht="22.2" customHeight="1" x14ac:dyDescent="0.4">
      <c r="A73" s="100" t="s">
        <v>102</v>
      </c>
      <c r="B73" s="44">
        <v>6288247.2106798524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6288247.2106798524</v>
      </c>
      <c r="AD73" s="41"/>
      <c r="AE73" s="52">
        <f t="shared" ref="AE73:AE136" si="13">AC73/1000</f>
        <v>6288.2472106798523</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2357830.8699999996</v>
      </c>
      <c r="C75" s="37">
        <f>SUM(C76:C85)</f>
        <v>237000.04916</v>
      </c>
      <c r="D75" s="37">
        <f>SUM(D76:D85)</f>
        <v>653385.75165000011</v>
      </c>
      <c r="E75" s="60">
        <f>SUM(E76:E85)</f>
        <v>1718540.8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4966757.4708099999</v>
      </c>
      <c r="AD75" s="41"/>
      <c r="AE75" s="37">
        <f t="shared" si="13"/>
        <v>4966.7574708100001</v>
      </c>
      <c r="AF75" s="128"/>
      <c r="AG75" s="76"/>
    </row>
    <row r="76" spans="1:33" ht="22.2" customHeight="1" x14ac:dyDescent="0.4">
      <c r="A76" s="100" t="s">
        <v>105</v>
      </c>
      <c r="B76" s="117">
        <v>0</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0</v>
      </c>
      <c r="AD76" s="41"/>
      <c r="AE76" s="52">
        <f t="shared" si="13"/>
        <v>0</v>
      </c>
      <c r="AF76" s="128"/>
      <c r="AG76" s="111"/>
    </row>
    <row r="77" spans="1:33" ht="22.2" customHeight="1" x14ac:dyDescent="0.4">
      <c r="A77" s="100" t="s">
        <v>106</v>
      </c>
      <c r="B77" s="59"/>
      <c r="C77" s="58"/>
      <c r="D77" s="44">
        <v>534813.09165000007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534813.09165000007</v>
      </c>
      <c r="AD77" s="41"/>
      <c r="AE77" s="52">
        <f t="shared" si="13"/>
        <v>534.81309165000005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118572.66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118572.66</v>
      </c>
      <c r="AD79" s="41"/>
      <c r="AE79" s="52">
        <f t="shared" si="13"/>
        <v>118.57266</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166013.99999999997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166013.99999999997</v>
      </c>
      <c r="AD82" s="41"/>
      <c r="AE82" s="52">
        <f t="shared" si="13"/>
        <v>166.01399999999998</v>
      </c>
      <c r="AF82" s="128"/>
      <c r="AG82" s="111"/>
    </row>
    <row r="83" spans="1:33" ht="22.2" customHeight="1" x14ac:dyDescent="0.4">
      <c r="A83" s="100" t="s">
        <v>112</v>
      </c>
      <c r="B83" s="44">
        <v>1804847.6499999997</v>
      </c>
      <c r="C83" s="44">
        <v>237000.04916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2041847.6991599996</v>
      </c>
      <c r="AD83" s="41"/>
      <c r="AE83" s="52">
        <f t="shared" si="13"/>
        <v>2041.8476991599996</v>
      </c>
      <c r="AF83" s="128"/>
      <c r="AG83" s="111"/>
    </row>
    <row r="84" spans="1:33" ht="22.2" customHeight="1" x14ac:dyDescent="0.4">
      <c r="A84" s="100" t="s">
        <v>113</v>
      </c>
      <c r="B84" s="59"/>
      <c r="C84" s="58"/>
      <c r="D84" s="58"/>
      <c r="E84" s="160">
        <v>1718540.8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1718540.8</v>
      </c>
      <c r="AD84" s="41"/>
      <c r="AE84" s="52">
        <f t="shared" si="13"/>
        <v>1718.5408</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17283262.859999999</v>
      </c>
      <c r="C86" s="37">
        <f>SUM(C87:C93)</f>
        <v>3112.48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17286375.34</v>
      </c>
      <c r="AD86" s="41"/>
      <c r="AE86" s="37">
        <f>AC86/1000</f>
        <v>17286.375339999999</v>
      </c>
      <c r="AF86" s="128"/>
      <c r="AG86" s="76"/>
    </row>
    <row r="87" spans="1:33" ht="22.2" customHeight="1" x14ac:dyDescent="0.4">
      <c r="A87" s="100" t="s">
        <v>116</v>
      </c>
      <c r="B87" s="44">
        <v>16884610</v>
      </c>
      <c r="C87" s="44">
        <v>3112.48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16887722.48</v>
      </c>
      <c r="AD87" s="41"/>
      <c r="AE87" s="52">
        <f t="shared" si="13"/>
        <v>16887.72248</v>
      </c>
      <c r="AF87" s="128"/>
      <c r="AG87" s="111"/>
    </row>
    <row r="88" spans="1:33" ht="22.2" customHeight="1" x14ac:dyDescent="0.4">
      <c r="A88" s="100" t="s">
        <v>117</v>
      </c>
      <c r="B88" s="44">
        <v>310711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310711</v>
      </c>
      <c r="AD88" s="41"/>
      <c r="AE88" s="52">
        <f t="shared" si="13"/>
        <v>310.71100000000001</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0"/>
      <c r="V89" s="160"/>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87941.86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87941.86</v>
      </c>
      <c r="AD91" s="41"/>
      <c r="AE91" s="52">
        <f t="shared" si="13"/>
        <v>87.941860000000005</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35490.409694563998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35490.409694563998</v>
      </c>
      <c r="AD94" s="41"/>
      <c r="AE94" s="37">
        <f t="shared" si="13"/>
        <v>35.490409694564001</v>
      </c>
      <c r="AF94" s="128"/>
      <c r="AG94" s="78"/>
    </row>
    <row r="95" spans="1:33" ht="22.2" customHeight="1" x14ac:dyDescent="0.4">
      <c r="A95" s="100" t="s">
        <v>124</v>
      </c>
      <c r="B95" s="44">
        <v>28967.419143519997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28967.419143519997</v>
      </c>
      <c r="AD95" s="41"/>
      <c r="AE95" s="52">
        <f t="shared" si="13"/>
        <v>28.967419143519997</v>
      </c>
      <c r="AF95" s="128"/>
      <c r="AG95" s="111"/>
    </row>
    <row r="96" spans="1:33" ht="22.2" customHeight="1" x14ac:dyDescent="0.4">
      <c r="A96" s="100" t="s">
        <v>125</v>
      </c>
      <c r="B96" s="44">
        <v>6522.9905510440012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6522.9905510440012</v>
      </c>
      <c r="AD96" s="41"/>
      <c r="AE96" s="52">
        <f t="shared" si="13"/>
        <v>6.5229905510440016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301.16299819860569</v>
      </c>
      <c r="E99" s="66">
        <f>SUM(E100:E102)</f>
        <v>570.57081592061957</v>
      </c>
      <c r="F99" s="47"/>
      <c r="G99" s="47"/>
      <c r="H99" s="47"/>
      <c r="I99" s="47"/>
      <c r="J99" s="47"/>
      <c r="K99" s="47"/>
      <c r="L99" s="47"/>
      <c r="M99" s="47"/>
      <c r="N99" s="47"/>
      <c r="O99" s="47"/>
      <c r="P99" s="47"/>
      <c r="Q99" s="47"/>
      <c r="R99" s="47"/>
      <c r="S99" s="47"/>
      <c r="T99" s="66">
        <f>SUM(T100:T102)</f>
        <v>1.8690795598948033</v>
      </c>
      <c r="U99" s="66">
        <f t="shared" ref="U99:AB99" si="16">SUM(U100:U102)</f>
        <v>23210.733235630425</v>
      </c>
      <c r="V99" s="66">
        <f t="shared" si="16"/>
        <v>2629.5925551153623</v>
      </c>
      <c r="W99" s="66">
        <f t="shared" si="16"/>
        <v>245.71356104968609</v>
      </c>
      <c r="X99" s="66">
        <f t="shared" si="16"/>
        <v>2.7608265286481587E-3</v>
      </c>
      <c r="Y99" s="66">
        <f t="shared" si="16"/>
        <v>87.910030697203581</v>
      </c>
      <c r="Z99" s="66">
        <f t="shared" si="16"/>
        <v>1.8405510190987724E-3</v>
      </c>
      <c r="AA99" s="66">
        <f t="shared" si="16"/>
        <v>2474.4518579856917</v>
      </c>
      <c r="AB99" s="66">
        <f t="shared" si="16"/>
        <v>2261.7256121515375</v>
      </c>
      <c r="AC99" s="37">
        <f>SUM(AC100:AC104)</f>
        <v>31783.734347686572</v>
      </c>
      <c r="AD99" s="41"/>
      <c r="AE99" s="37">
        <f t="shared" si="13"/>
        <v>31.783734347686572</v>
      </c>
      <c r="AF99" s="128"/>
      <c r="AG99" s="63"/>
    </row>
    <row r="100" spans="1:33" ht="22.2" customHeight="1" x14ac:dyDescent="0.4">
      <c r="A100" s="100" t="s">
        <v>129</v>
      </c>
      <c r="B100" s="63"/>
      <c r="C100" s="63"/>
      <c r="D100" s="44">
        <v>246.31174013089324</v>
      </c>
      <c r="E100" s="160">
        <v>570.57081592061957</v>
      </c>
      <c r="F100" s="47"/>
      <c r="G100" s="47"/>
      <c r="H100" s="47"/>
      <c r="I100" s="47"/>
      <c r="J100" s="47"/>
      <c r="K100" s="47"/>
      <c r="L100" s="47"/>
      <c r="M100" s="47"/>
      <c r="N100" s="47"/>
      <c r="O100" s="47"/>
      <c r="P100" s="47"/>
      <c r="Q100" s="47"/>
      <c r="R100" s="47"/>
      <c r="S100" s="47"/>
      <c r="T100" s="160">
        <v>1.8690795598948033</v>
      </c>
      <c r="U100" s="160">
        <v>2196.5135861924746</v>
      </c>
      <c r="V100" s="160">
        <v>1225.8069787197824</v>
      </c>
      <c r="W100" s="160">
        <v>245.71356104968609</v>
      </c>
      <c r="X100" s="160">
        <v>2.7608265286481587E-3</v>
      </c>
      <c r="Y100" s="160">
        <v>87.794283611011451</v>
      </c>
      <c r="Z100" s="160">
        <v>1.8405510190987724E-3</v>
      </c>
      <c r="AA100" s="160">
        <v>2222.4653555617674</v>
      </c>
      <c r="AB100" s="160">
        <v>1081.323723720529</v>
      </c>
      <c r="AC100" s="52">
        <f>SUM(B100:AB100)</f>
        <v>7878.3737258442052</v>
      </c>
      <c r="AD100" s="41"/>
      <c r="AE100" s="52">
        <f t="shared" si="13"/>
        <v>7.878373725844205</v>
      </c>
      <c r="AF100" s="128"/>
      <c r="AG100" s="111"/>
    </row>
    <row r="101" spans="1:33" ht="22.2" customHeight="1" x14ac:dyDescent="0.4">
      <c r="A101" s="100" t="s">
        <v>130</v>
      </c>
      <c r="B101" s="64"/>
      <c r="C101" s="63"/>
      <c r="D101" s="44">
        <v>54.851258067712479</v>
      </c>
      <c r="E101" s="45"/>
      <c r="F101" s="47"/>
      <c r="G101" s="47"/>
      <c r="H101" s="47"/>
      <c r="I101" s="47"/>
      <c r="J101" s="47"/>
      <c r="K101" s="47"/>
      <c r="L101" s="47"/>
      <c r="M101" s="47"/>
      <c r="N101" s="47"/>
      <c r="O101" s="47"/>
      <c r="P101" s="47"/>
      <c r="Q101" s="47"/>
      <c r="R101" s="47"/>
      <c r="S101" s="47"/>
      <c r="T101" s="47"/>
      <c r="U101" s="160">
        <v>52.286380287731852</v>
      </c>
      <c r="V101" s="47"/>
      <c r="W101" s="47"/>
      <c r="X101" s="47"/>
      <c r="Y101" s="160">
        <v>0.1157470861921248</v>
      </c>
      <c r="Z101" s="47"/>
      <c r="AA101" s="160">
        <v>251.98650242392452</v>
      </c>
      <c r="AB101" s="160">
        <v>1180.4018884310083</v>
      </c>
      <c r="AC101" s="52">
        <f>SUM(B101:AB101)</f>
        <v>1539.6417762965693</v>
      </c>
      <c r="AD101" s="41"/>
      <c r="AE101" s="52">
        <f t="shared" si="13"/>
        <v>1.5396417762965693</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0">
        <v>20961.933269150217</v>
      </c>
      <c r="V102" s="160">
        <v>1403.7855763955799</v>
      </c>
      <c r="W102" s="47"/>
      <c r="X102" s="47"/>
      <c r="Y102" s="47"/>
      <c r="Z102" s="47"/>
      <c r="AA102" s="47"/>
      <c r="AB102" s="75"/>
      <c r="AC102" s="52">
        <f>SUM(B102:AB102)</f>
        <v>22365.718845545798</v>
      </c>
      <c r="AD102" s="41"/>
      <c r="AE102" s="52">
        <f t="shared" si="13"/>
        <v>22.3657188455458</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1738815.095</v>
      </c>
      <c r="G105" s="67">
        <f t="shared" ref="G105:S105" si="17">SUM(G106:G111)</f>
        <v>3102.067</v>
      </c>
      <c r="H105" s="66">
        <f t="shared" si="17"/>
        <v>37805.667000000001</v>
      </c>
      <c r="I105" s="66">
        <f t="shared" si="17"/>
        <v>280.09800000000001</v>
      </c>
      <c r="J105" s="66">
        <f t="shared" si="17"/>
        <v>7786428.4450000003</v>
      </c>
      <c r="K105" s="66">
        <f t="shared" si="17"/>
        <v>8323654.1260000002</v>
      </c>
      <c r="L105" s="66">
        <f t="shared" si="17"/>
        <v>264512.06599999999</v>
      </c>
      <c r="M105" s="66">
        <f t="shared" si="17"/>
        <v>412785.69500000001</v>
      </c>
      <c r="N105" s="66">
        <f t="shared" si="17"/>
        <v>407737.47</v>
      </c>
      <c r="O105" s="66">
        <f t="shared" si="17"/>
        <v>44179.535000000003</v>
      </c>
      <c r="P105" s="66">
        <f t="shared" si="17"/>
        <v>68946.904999999999</v>
      </c>
      <c r="Q105" s="66">
        <f t="shared" si="17"/>
        <v>58366.137999999999</v>
      </c>
      <c r="R105" s="67">
        <f t="shared" si="17"/>
        <v>4735.4059999999999</v>
      </c>
      <c r="S105" s="66">
        <f t="shared" si="17"/>
        <v>1180910.4269999999</v>
      </c>
      <c r="T105" s="47"/>
      <c r="U105" s="47"/>
      <c r="V105" s="47"/>
      <c r="W105" s="47"/>
      <c r="X105" s="47"/>
      <c r="Y105" s="47"/>
      <c r="Z105" s="47"/>
      <c r="AA105" s="47"/>
      <c r="AB105" s="75"/>
      <c r="AC105" s="37">
        <f>SUM(AC106:AC111)</f>
        <v>20332259.140000004</v>
      </c>
      <c r="AD105" s="41"/>
      <c r="AE105" s="37">
        <f>AC105/1000</f>
        <v>20332.259140000006</v>
      </c>
      <c r="AF105" s="128"/>
      <c r="AG105" s="63"/>
    </row>
    <row r="106" spans="1:33" ht="22.2" customHeight="1" x14ac:dyDescent="0.4">
      <c r="A106" s="100" t="s">
        <v>135</v>
      </c>
      <c r="B106" s="63"/>
      <c r="C106" s="63"/>
      <c r="D106" s="63"/>
      <c r="E106" s="45"/>
      <c r="F106" s="160">
        <v>1738815.095</v>
      </c>
      <c r="G106" s="47"/>
      <c r="H106" s="47"/>
      <c r="I106" s="47"/>
      <c r="J106" s="160">
        <v>7037155.409</v>
      </c>
      <c r="K106" s="160">
        <v>8323654.1260000002</v>
      </c>
      <c r="L106" s="160">
        <v>264512.06599999999</v>
      </c>
      <c r="M106" s="105"/>
      <c r="N106" s="47"/>
      <c r="O106" s="47"/>
      <c r="P106" s="47"/>
      <c r="Q106" s="47"/>
      <c r="R106" s="47"/>
      <c r="S106" s="160">
        <v>1180910.4269999999</v>
      </c>
      <c r="T106" s="47"/>
      <c r="U106" s="47"/>
      <c r="V106" s="47"/>
      <c r="W106" s="47"/>
      <c r="X106" s="47"/>
      <c r="Y106" s="47"/>
      <c r="Z106" s="47"/>
      <c r="AA106" s="47"/>
      <c r="AB106" s="75"/>
      <c r="AC106" s="52">
        <f>SUM(B106:AB106)</f>
        <v>18545047.123000003</v>
      </c>
      <c r="AD106" s="41"/>
      <c r="AE106" s="52">
        <f>AC106/1000</f>
        <v>18545.047123000004</v>
      </c>
      <c r="AF106" s="128"/>
      <c r="AG106" s="111"/>
    </row>
    <row r="107" spans="1:33" ht="22.2" customHeight="1" x14ac:dyDescent="0.4">
      <c r="A107" s="100" t="s">
        <v>136</v>
      </c>
      <c r="B107" s="63"/>
      <c r="C107" s="63"/>
      <c r="D107" s="63"/>
      <c r="E107" s="45"/>
      <c r="F107" s="47"/>
      <c r="G107" s="47"/>
      <c r="H107" s="47"/>
      <c r="I107" s="160">
        <v>280.09800000000001</v>
      </c>
      <c r="J107" s="160">
        <v>1834.598</v>
      </c>
      <c r="K107" s="47"/>
      <c r="L107" s="47"/>
      <c r="M107" s="160">
        <v>412785.69500000001</v>
      </c>
      <c r="N107" s="47"/>
      <c r="O107" s="47"/>
      <c r="P107" s="47"/>
      <c r="Q107" s="160">
        <v>53129.34</v>
      </c>
      <c r="R107" s="47"/>
      <c r="S107" s="47"/>
      <c r="T107" s="47"/>
      <c r="U107" s="47"/>
      <c r="V107" s="47"/>
      <c r="W107" s="47"/>
      <c r="X107" s="47"/>
      <c r="Y107" s="47"/>
      <c r="Z107" s="47"/>
      <c r="AA107" s="47"/>
      <c r="AB107" s="75"/>
      <c r="AC107" s="52">
        <f>SUM(B107:AB107)</f>
        <v>468029.73100000003</v>
      </c>
      <c r="AD107" s="41"/>
      <c r="AE107" s="52">
        <f t="shared" si="13"/>
        <v>468.02973100000003</v>
      </c>
      <c r="AF107" s="128"/>
      <c r="AG107" s="111"/>
    </row>
    <row r="108" spans="1:33" ht="22.2" customHeight="1" x14ac:dyDescent="0.4">
      <c r="A108" s="100" t="s">
        <v>137</v>
      </c>
      <c r="B108" s="63"/>
      <c r="C108" s="63"/>
      <c r="D108" s="63"/>
      <c r="E108" s="45"/>
      <c r="F108" s="47"/>
      <c r="G108" s="47"/>
      <c r="H108" s="160">
        <v>37805.667000000001</v>
      </c>
      <c r="I108" s="47"/>
      <c r="J108" s="47"/>
      <c r="K108" s="47"/>
      <c r="L108" s="47"/>
      <c r="M108" s="47"/>
      <c r="N108" s="47"/>
      <c r="O108" s="160">
        <v>44179.535000000003</v>
      </c>
      <c r="P108" s="160">
        <v>68946.904999999999</v>
      </c>
      <c r="Q108" s="47"/>
      <c r="R108" s="160">
        <v>4735.4059999999999</v>
      </c>
      <c r="S108" s="47"/>
      <c r="T108" s="47"/>
      <c r="U108" s="47"/>
      <c r="V108" s="47"/>
      <c r="W108" s="47"/>
      <c r="X108" s="47"/>
      <c r="Y108" s="47"/>
      <c r="Z108" s="47"/>
      <c r="AA108" s="47"/>
      <c r="AB108" s="75"/>
      <c r="AC108" s="52">
        <f>SUM(B108:AB108)</f>
        <v>155667.51300000001</v>
      </c>
      <c r="AD108" s="41"/>
      <c r="AE108" s="52">
        <f t="shared" si="13"/>
        <v>155.66751300000001</v>
      </c>
      <c r="AF108" s="128"/>
      <c r="AG108" s="111"/>
    </row>
    <row r="109" spans="1:33" ht="22.2" customHeight="1" x14ac:dyDescent="0.4">
      <c r="A109" s="100" t="s">
        <v>138</v>
      </c>
      <c r="B109" s="63"/>
      <c r="C109" s="63"/>
      <c r="D109" s="63"/>
      <c r="E109" s="45"/>
      <c r="F109" s="47"/>
      <c r="G109" s="47"/>
      <c r="H109" s="47"/>
      <c r="I109" s="47"/>
      <c r="J109" s="160">
        <v>747438.43799999997</v>
      </c>
      <c r="K109" s="47"/>
      <c r="L109" s="47"/>
      <c r="M109" s="47"/>
      <c r="N109" s="160">
        <v>407737.47</v>
      </c>
      <c r="O109" s="47"/>
      <c r="P109" s="47"/>
      <c r="Q109" s="160">
        <v>5236.7979999999998</v>
      </c>
      <c r="R109" s="47"/>
      <c r="S109" s="47"/>
      <c r="T109" s="47"/>
      <c r="U109" s="47"/>
      <c r="V109" s="47"/>
      <c r="W109" s="47"/>
      <c r="X109" s="47"/>
      <c r="Y109" s="47"/>
      <c r="Z109" s="47"/>
      <c r="AA109" s="47"/>
      <c r="AB109" s="75"/>
      <c r="AC109" s="52">
        <f>SUM(B109:AB109)</f>
        <v>1160412.7059999998</v>
      </c>
      <c r="AD109" s="41"/>
      <c r="AE109" s="52">
        <f t="shared" si="13"/>
        <v>1160.4127059999998</v>
      </c>
      <c r="AF109" s="128"/>
      <c r="AG109" s="111"/>
    </row>
    <row r="110" spans="1:33" ht="22.2" customHeight="1" x14ac:dyDescent="0.4">
      <c r="A110" s="100" t="s">
        <v>139</v>
      </c>
      <c r="B110" s="64"/>
      <c r="C110" s="63"/>
      <c r="D110" s="63"/>
      <c r="E110" s="45"/>
      <c r="F110" s="47"/>
      <c r="G110" s="160">
        <v>3102.067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3102.067</v>
      </c>
      <c r="AD110" s="41"/>
      <c r="AE110" s="52">
        <f t="shared" si="13"/>
        <v>3.1020669999999999</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0">
        <v>398654.17</v>
      </c>
      <c r="AC113" s="52">
        <f>SUM(B113:AB113)</f>
        <v>398654.17</v>
      </c>
      <c r="AD113" s="41"/>
      <c r="AE113" s="52">
        <f t="shared" si="13"/>
        <v>398.65416999999997</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27798.76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27798.76</v>
      </c>
      <c r="AD117" s="41"/>
      <c r="AE117" s="37">
        <f t="shared" si="13"/>
        <v>27.798759999999998</v>
      </c>
      <c r="AF117" s="128"/>
      <c r="AG117" s="64"/>
    </row>
    <row r="118" spans="1:33" ht="22.2" customHeight="1" x14ac:dyDescent="0.4">
      <c r="A118" s="100" t="s">
        <v>147</v>
      </c>
      <c r="B118" s="44">
        <v>27798.76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27798.76</v>
      </c>
      <c r="AD118" s="41"/>
      <c r="AE118" s="52">
        <f t="shared" si="13"/>
        <v>27.798759999999998</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1440052.31</v>
      </c>
      <c r="C121" s="33">
        <f>C122+C132+SUM(C143:C149)</f>
        <v>97099063.401700005</v>
      </c>
      <c r="D121" s="33">
        <f>D122+D132+SUM(D143:D149)</f>
        <v>29700109.621963002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128239225.33366302</v>
      </c>
      <c r="AD121" s="41"/>
      <c r="AE121" s="57">
        <f t="shared" si="13"/>
        <v>128239.22533366302</v>
      </c>
      <c r="AF121" s="128"/>
      <c r="AG121" s="33">
        <f>SUM(AG122:AG149)</f>
        <v>0</v>
      </c>
    </row>
    <row r="122" spans="1:33" ht="22.2" customHeight="1" x14ac:dyDescent="0.4">
      <c r="A122" s="22" t="s">
        <v>151</v>
      </c>
      <c r="B122" s="58"/>
      <c r="C122" s="37">
        <f>SUM(C123:C131)</f>
        <v>77083942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77083942</v>
      </c>
      <c r="AD122" s="41"/>
      <c r="AE122" s="37">
        <f t="shared" si="13"/>
        <v>77083.941999999995</v>
      </c>
      <c r="AF122" s="128"/>
      <c r="AG122" s="63"/>
    </row>
    <row r="123" spans="1:33" ht="22.2" customHeight="1" x14ac:dyDescent="0.4">
      <c r="A123" s="21" t="s">
        <v>152</v>
      </c>
      <c r="B123" s="58"/>
      <c r="C123" s="44">
        <v>72751907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72751907</v>
      </c>
      <c r="AD123" s="41"/>
      <c r="AE123" s="52">
        <f t="shared" si="13"/>
        <v>72751.907000000007</v>
      </c>
      <c r="AF123" s="128"/>
      <c r="AG123" s="111"/>
    </row>
    <row r="124" spans="1:33" ht="22.2" customHeight="1" x14ac:dyDescent="0.4">
      <c r="A124" s="21" t="s">
        <v>153</v>
      </c>
      <c r="B124" s="59"/>
      <c r="C124" s="44">
        <v>1633667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1633667</v>
      </c>
      <c r="AD124" s="41"/>
      <c r="AE124" s="52">
        <f t="shared" si="13"/>
        <v>1633.6669999999999</v>
      </c>
      <c r="AF124" s="128"/>
      <c r="AG124" s="111"/>
    </row>
    <row r="125" spans="1:33" ht="22.2" customHeight="1" x14ac:dyDescent="0.4">
      <c r="A125" s="21" t="s">
        <v>154</v>
      </c>
      <c r="B125" s="59"/>
      <c r="C125" s="44">
        <v>408906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408906</v>
      </c>
      <c r="AD125" s="41"/>
      <c r="AE125" s="52">
        <f t="shared" si="13"/>
        <v>408.90600000000001</v>
      </c>
      <c r="AF125" s="128"/>
      <c r="AG125" s="111"/>
    </row>
    <row r="126" spans="1:33" ht="22.2" customHeight="1" x14ac:dyDescent="0.4">
      <c r="A126" s="21" t="s">
        <v>155</v>
      </c>
      <c r="B126" s="59"/>
      <c r="C126" s="44">
        <v>338806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338806</v>
      </c>
      <c r="AD126" s="41"/>
      <c r="AE126" s="52">
        <f t="shared" si="13"/>
        <v>338.80599999999998</v>
      </c>
      <c r="AF126" s="128"/>
      <c r="AG126" s="111"/>
    </row>
    <row r="127" spans="1:33" ht="22.2" customHeight="1" x14ac:dyDescent="0.4">
      <c r="A127" s="21" t="s">
        <v>156</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157</v>
      </c>
      <c r="B128" s="59"/>
      <c r="C128" s="44">
        <v>1403186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1403186</v>
      </c>
      <c r="AD128" s="41"/>
      <c r="AE128" s="52">
        <f t="shared" si="13"/>
        <v>1403.1859999999999</v>
      </c>
      <c r="AF128" s="128"/>
      <c r="AG128" s="111"/>
    </row>
    <row r="129" spans="1:33" ht="22.2" customHeight="1" x14ac:dyDescent="0.4">
      <c r="A129" s="21" t="s">
        <v>158</v>
      </c>
      <c r="B129" s="76"/>
      <c r="C129" s="44">
        <v>437982</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437982</v>
      </c>
      <c r="AD129" s="41"/>
      <c r="AE129" s="52">
        <f t="shared" si="13"/>
        <v>437.98200000000003</v>
      </c>
      <c r="AF129" s="128"/>
      <c r="AG129" s="111"/>
    </row>
    <row r="130" spans="1:33" ht="22.2" customHeight="1" x14ac:dyDescent="0.4">
      <c r="A130" s="21" t="s">
        <v>159</v>
      </c>
      <c r="B130" s="77"/>
      <c r="C130" s="44">
        <v>109488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109488</v>
      </c>
      <c r="AD130" s="41"/>
      <c r="AE130" s="52">
        <f t="shared" si="13"/>
        <v>109.488</v>
      </c>
      <c r="AF130" s="128"/>
      <c r="AG130" s="111"/>
    </row>
    <row r="131" spans="1:33" ht="22.2" customHeight="1" x14ac:dyDescent="0.4">
      <c r="A131" s="21" t="s">
        <v>160</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161</v>
      </c>
      <c r="B132" s="78"/>
      <c r="C132" s="62">
        <f>SUM(C133:C142)</f>
        <v>19186104</v>
      </c>
      <c r="D132" s="62">
        <f>SUM(D133:D142)</f>
        <v>7673411.0783000002</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26859515.078299999</v>
      </c>
      <c r="AD132" s="41"/>
      <c r="AE132" s="37">
        <f t="shared" si="13"/>
        <v>26859.515078299999</v>
      </c>
      <c r="AF132" s="128"/>
      <c r="AG132" s="78"/>
    </row>
    <row r="133" spans="1:33" ht="22.2" customHeight="1" x14ac:dyDescent="0.4">
      <c r="A133" s="21" t="s">
        <v>162</v>
      </c>
      <c r="B133" s="59"/>
      <c r="C133" s="44">
        <v>11211552</v>
      </c>
      <c r="D133" s="44">
        <v>6310606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17522158</v>
      </c>
      <c r="AD133" s="41"/>
      <c r="AE133" s="52">
        <f t="shared" si="13"/>
        <v>17522.157999999999</v>
      </c>
      <c r="AF133" s="128"/>
      <c r="AG133" s="111"/>
    </row>
    <row r="134" spans="1:33" ht="22.2" customHeight="1" x14ac:dyDescent="0.4">
      <c r="A134" s="21" t="s">
        <v>163</v>
      </c>
      <c r="B134" s="59"/>
      <c r="C134" s="44">
        <v>38523</v>
      </c>
      <c r="D134" s="44">
        <v>37176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75699</v>
      </c>
      <c r="AD134" s="41"/>
      <c r="AE134" s="52">
        <f t="shared" si="13"/>
        <v>75.698999999999998</v>
      </c>
      <c r="AF134" s="128"/>
      <c r="AG134" s="111"/>
    </row>
    <row r="135" spans="1:33" ht="22.2" customHeight="1" x14ac:dyDescent="0.4">
      <c r="A135" s="21" t="s">
        <v>164</v>
      </c>
      <c r="B135" s="59"/>
      <c r="C135" s="44">
        <v>5896226</v>
      </c>
      <c r="D135" s="44">
        <v>463234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6359460</v>
      </c>
      <c r="AD135" s="41"/>
      <c r="AE135" s="52">
        <f t="shared" si="13"/>
        <v>6359.46</v>
      </c>
      <c r="AF135" s="128"/>
      <c r="AG135" s="111"/>
    </row>
    <row r="136" spans="1:33" ht="22.2" customHeight="1" x14ac:dyDescent="0.4">
      <c r="A136" s="21" t="s">
        <v>165</v>
      </c>
      <c r="B136" s="59"/>
      <c r="C136" s="44">
        <v>9965</v>
      </c>
      <c r="D136" s="44">
        <v>33268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43233</v>
      </c>
      <c r="AD136" s="41"/>
      <c r="AE136" s="52">
        <f t="shared" si="13"/>
        <v>43.232999999999997</v>
      </c>
      <c r="AF136" s="128"/>
      <c r="AG136" s="111"/>
    </row>
    <row r="137" spans="1:33" ht="22.2" customHeight="1" x14ac:dyDescent="0.4">
      <c r="A137" s="21" t="s">
        <v>166</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167</v>
      </c>
      <c r="B138" s="59"/>
      <c r="C138" s="44">
        <v>38676</v>
      </c>
      <c r="D138" s="44">
        <v>22202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60878</v>
      </c>
      <c r="AD138" s="41"/>
      <c r="AE138" s="52">
        <f t="shared" si="20"/>
        <v>60.878</v>
      </c>
      <c r="AF138" s="128"/>
      <c r="AG138" s="111"/>
    </row>
    <row r="139" spans="1:33" ht="22.2" customHeight="1" x14ac:dyDescent="0.4">
      <c r="A139" s="21" t="s">
        <v>168</v>
      </c>
      <c r="B139" s="59"/>
      <c r="C139" s="44">
        <v>42390</v>
      </c>
      <c r="D139" s="44">
        <v>334179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376569</v>
      </c>
      <c r="AD139" s="41"/>
      <c r="AE139" s="52">
        <f t="shared" si="20"/>
        <v>376.56900000000002</v>
      </c>
      <c r="AF139" s="128"/>
      <c r="AG139" s="111"/>
    </row>
    <row r="140" spans="1:33" ht="22.2" customHeight="1" x14ac:dyDescent="0.4">
      <c r="A140" s="21" t="s">
        <v>169</v>
      </c>
      <c r="B140" s="59"/>
      <c r="C140" s="44">
        <v>10806</v>
      </c>
      <c r="D140" s="44">
        <v>74602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85408</v>
      </c>
      <c r="AD140" s="41"/>
      <c r="AE140" s="52">
        <f t="shared" si="20"/>
        <v>85.408000000000001</v>
      </c>
      <c r="AF140" s="128"/>
      <c r="AG140" s="111"/>
    </row>
    <row r="141" spans="1:33" ht="22.2" customHeight="1" x14ac:dyDescent="0.4">
      <c r="A141" s="21" t="s">
        <v>170</v>
      </c>
      <c r="B141" s="76"/>
      <c r="C141" s="44">
        <v>1937966</v>
      </c>
      <c r="D141" s="44">
        <v>398144.07829999999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2336110.0783000002</v>
      </c>
      <c r="AD141" s="41"/>
      <c r="AE141" s="52">
        <f t="shared" si="20"/>
        <v>2336.1100783000002</v>
      </c>
      <c r="AF141" s="128"/>
      <c r="AG141" s="111"/>
    </row>
    <row r="142" spans="1:33" ht="22.2" customHeight="1" x14ac:dyDescent="0.4">
      <c r="A142" s="21" t="s">
        <v>171</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172</v>
      </c>
      <c r="B143" s="59"/>
      <c r="C143" s="75"/>
      <c r="D143" s="44">
        <v>1316280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1316280</v>
      </c>
      <c r="AD143" s="41"/>
      <c r="AE143" s="52">
        <f t="shared" ref="AE143:AE150" si="22">AC143/1000</f>
        <v>1316.28</v>
      </c>
      <c r="AF143" s="128"/>
      <c r="AG143" s="111"/>
    </row>
    <row r="144" spans="1:33" ht="22.2" customHeight="1" x14ac:dyDescent="0.4">
      <c r="A144" s="22" t="s">
        <v>173</v>
      </c>
      <c r="B144" s="59"/>
      <c r="C144" s="44">
        <v>119134.997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119134.997</v>
      </c>
      <c r="AD144" s="41"/>
      <c r="AE144" s="52">
        <f t="shared" si="22"/>
        <v>119.134997</v>
      </c>
      <c r="AF144" s="128"/>
      <c r="AG144" s="111"/>
    </row>
    <row r="145" spans="1:33" ht="22.2" customHeight="1" x14ac:dyDescent="0.4">
      <c r="A145" s="22" t="s">
        <v>174</v>
      </c>
      <c r="B145" s="59"/>
      <c r="C145" s="75"/>
      <c r="D145" s="44">
        <v>13772375.9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13772375.9</v>
      </c>
      <c r="AD145" s="41"/>
      <c r="AE145" s="52">
        <f t="shared" si="22"/>
        <v>13772.375900000001</v>
      </c>
      <c r="AF145" s="128"/>
      <c r="AG145" s="111"/>
    </row>
    <row r="146" spans="1:33" ht="22.2" customHeight="1" x14ac:dyDescent="0.4">
      <c r="A146" s="22" t="s">
        <v>175</v>
      </c>
      <c r="B146" s="59"/>
      <c r="C146" s="75"/>
      <c r="D146" s="44">
        <v>6722915.5252630003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6722915.5252630003</v>
      </c>
      <c r="AD146" s="41"/>
      <c r="AE146" s="52">
        <f t="shared" si="22"/>
        <v>6722.9155252629998</v>
      </c>
      <c r="AF146" s="128"/>
      <c r="AG146" s="111"/>
    </row>
    <row r="147" spans="1:33" ht="22.2" customHeight="1" x14ac:dyDescent="0.4">
      <c r="A147" s="21" t="s">
        <v>176</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 customHeight="1" x14ac:dyDescent="0.4">
      <c r="A148" s="22" t="s">
        <v>177</v>
      </c>
      <c r="B148" s="44">
        <v>37829.94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37829.94</v>
      </c>
      <c r="AD148" s="41"/>
      <c r="AE148" s="52">
        <f t="shared" si="22"/>
        <v>37.829940000000001</v>
      </c>
      <c r="AF148" s="128"/>
      <c r="AG148" s="111"/>
    </row>
    <row r="149" spans="1:33" ht="22.2" customHeight="1" x14ac:dyDescent="0.4">
      <c r="A149" s="22" t="s">
        <v>178</v>
      </c>
      <c r="B149" s="44">
        <v>1402222.37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1402222.37</v>
      </c>
      <c r="AD149" s="41"/>
      <c r="AE149" s="52">
        <f t="shared" si="22"/>
        <v>1402.2223700000002</v>
      </c>
      <c r="AF149" s="128"/>
      <c r="AG149" s="111"/>
    </row>
    <row r="150" spans="1:33" ht="22.2" customHeight="1" x14ac:dyDescent="0.4">
      <c r="A150" s="15" t="s">
        <v>179</v>
      </c>
      <c r="B150" s="33">
        <f>B151+B154+B157+B160+B163+B166+B173</f>
        <v>-183075189.66579998</v>
      </c>
      <c r="C150" s="33">
        <f>C169</f>
        <v>748798.23569999996</v>
      </c>
      <c r="D150" s="33">
        <f>D169</f>
        <v>392836.25540000002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-181933555.17469996</v>
      </c>
      <c r="AD150" s="41"/>
      <c r="AE150" s="57">
        <f t="shared" si="22"/>
        <v>-181933.55517469996</v>
      </c>
      <c r="AF150" s="128"/>
      <c r="AG150" s="33">
        <f>AG169</f>
        <v>4860</v>
      </c>
    </row>
    <row r="151" spans="1:33" ht="22.2" customHeight="1" x14ac:dyDescent="0.4">
      <c r="A151" s="22" t="s">
        <v>180</v>
      </c>
      <c r="B151" s="151">
        <f>SUM(B152:B153)</f>
        <v>-183374687.69159999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-183374687.69159999</v>
      </c>
      <c r="AD151" s="41"/>
      <c r="AE151" s="79">
        <f t="shared" si="20"/>
        <v>-183374.6876916</v>
      </c>
      <c r="AF151" s="128"/>
      <c r="AG151" s="63"/>
    </row>
    <row r="152" spans="1:33" ht="22.2" customHeight="1" x14ac:dyDescent="0.4">
      <c r="A152" s="21" t="s">
        <v>181</v>
      </c>
      <c r="B152" s="44">
        <v>-178934318.93540001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-178934318.93540001</v>
      </c>
      <c r="AD152" s="41"/>
      <c r="AE152" s="52">
        <f t="shared" si="20"/>
        <v>-178934.31893540002</v>
      </c>
      <c r="AF152" s="128"/>
      <c r="AG152" s="111"/>
    </row>
    <row r="153" spans="1:33" ht="22.2" customHeight="1" x14ac:dyDescent="0.4">
      <c r="A153" s="21" t="s">
        <v>182</v>
      </c>
      <c r="B153" s="44">
        <v>-4440368.7561999997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-4440368.7561999997</v>
      </c>
      <c r="AD153" s="41"/>
      <c r="AE153" s="52">
        <f t="shared" si="20"/>
        <v>-4440.3687561999996</v>
      </c>
      <c r="AF153" s="128"/>
      <c r="AG153" s="111"/>
    </row>
    <row r="154" spans="1:33" ht="22.2" customHeight="1" x14ac:dyDescent="0.4">
      <c r="A154" s="22" t="s">
        <v>183</v>
      </c>
      <c r="B154" s="151">
        <f>SUM(B155:B156)</f>
        <v>-12925284.265199998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-12925284.265199998</v>
      </c>
      <c r="AD154" s="41"/>
      <c r="AE154" s="79">
        <f t="shared" si="20"/>
        <v>-12925.284265199998</v>
      </c>
      <c r="AF154" s="128"/>
      <c r="AG154" s="63"/>
    </row>
    <row r="155" spans="1:33" ht="22.2" customHeight="1" x14ac:dyDescent="0.4">
      <c r="A155" s="21" t="s">
        <v>184</v>
      </c>
      <c r="B155" s="44">
        <v>-20846152.972199999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-20846152.972199999</v>
      </c>
      <c r="AD155" s="41"/>
      <c r="AE155" s="52">
        <f t="shared" si="20"/>
        <v>-20846.152972199998</v>
      </c>
      <c r="AF155" s="128"/>
      <c r="AG155" s="111"/>
    </row>
    <row r="156" spans="1:33" ht="22.2" customHeight="1" x14ac:dyDescent="0.4">
      <c r="A156" s="21" t="s">
        <v>185</v>
      </c>
      <c r="B156" s="44">
        <v>7920868.7070000004</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7920868.7070000004</v>
      </c>
      <c r="AD156" s="41"/>
      <c r="AE156" s="52">
        <f t="shared" si="20"/>
        <v>7920.8687070000005</v>
      </c>
      <c r="AF156" s="128"/>
      <c r="AG156" s="111"/>
    </row>
    <row r="157" spans="1:33" ht="22.2" customHeight="1" x14ac:dyDescent="0.4">
      <c r="A157" s="22" t="s">
        <v>186</v>
      </c>
      <c r="B157" s="151">
        <f>SUM(B158:B159)</f>
        <v>14766558.4004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14766558.4004</v>
      </c>
      <c r="AD157" s="41"/>
      <c r="AE157" s="79">
        <f t="shared" si="20"/>
        <v>14766.558400399999</v>
      </c>
      <c r="AF157" s="128"/>
      <c r="AG157" s="63"/>
    </row>
    <row r="158" spans="1:33" ht="22.2" customHeight="1" x14ac:dyDescent="0.4">
      <c r="A158" s="21" t="s">
        <v>187</v>
      </c>
      <c r="B158" s="44">
        <v>-470480.98580000002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-470480.98580000002</v>
      </c>
      <c r="AD158" s="41"/>
      <c r="AE158" s="52">
        <f t="shared" si="20"/>
        <v>-470.48098580000004</v>
      </c>
      <c r="AF158" s="128"/>
      <c r="AG158" s="111"/>
    </row>
    <row r="159" spans="1:33" ht="22.2" customHeight="1" x14ac:dyDescent="0.4">
      <c r="A159" s="21" t="s">
        <v>188</v>
      </c>
      <c r="B159" s="44">
        <v>15237039.3862</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15237039.3862</v>
      </c>
      <c r="AD159" s="41"/>
      <c r="AE159" s="52">
        <f t="shared" si="20"/>
        <v>15237.0393862</v>
      </c>
      <c r="AF159" s="128"/>
      <c r="AG159" s="111"/>
    </row>
    <row r="160" spans="1:33" ht="22.2" customHeight="1" x14ac:dyDescent="0.4">
      <c r="A160" s="22" t="s">
        <v>189</v>
      </c>
      <c r="B160" s="151">
        <f>SUM(B161:B162)</f>
        <v>169074.4332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169074.4332</v>
      </c>
      <c r="AD160" s="41"/>
      <c r="AE160" s="79">
        <f t="shared" si="20"/>
        <v>169.07443319999999</v>
      </c>
      <c r="AF160" s="128"/>
      <c r="AG160" s="63"/>
    </row>
    <row r="161" spans="1:33" ht="22.2" customHeight="1" x14ac:dyDescent="0.4">
      <c r="A161" s="21" t="s">
        <v>190</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191</v>
      </c>
      <c r="B162" s="44">
        <v>169074.4332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169074.4332</v>
      </c>
      <c r="AD162" s="41"/>
      <c r="AE162" s="52">
        <f t="shared" si="20"/>
        <v>169.07443319999999</v>
      </c>
      <c r="AF162" s="128"/>
      <c r="AG162" s="111"/>
    </row>
    <row r="163" spans="1:33" ht="22.2" customHeight="1" x14ac:dyDescent="0.4">
      <c r="A163" s="22" t="s">
        <v>192</v>
      </c>
      <c r="B163" s="151">
        <f>SUM(B164:B165)</f>
        <v>146724.15229999999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146724.15229999999</v>
      </c>
      <c r="AD163" s="41"/>
      <c r="AE163" s="79">
        <f t="shared" si="20"/>
        <v>146.72415229999999</v>
      </c>
      <c r="AF163" s="128"/>
      <c r="AG163" s="63"/>
    </row>
    <row r="164" spans="1:33" ht="22.2" customHeight="1" x14ac:dyDescent="0.4">
      <c r="A164" s="21" t="s">
        <v>193</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194</v>
      </c>
      <c r="B165" s="44">
        <v>146724.15229999999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146724.15229999999</v>
      </c>
      <c r="AD165" s="41"/>
      <c r="AE165" s="52">
        <f t="shared" si="20"/>
        <v>146.72415229999999</v>
      </c>
      <c r="AF165" s="128"/>
      <c r="AG165" s="111"/>
    </row>
    <row r="166" spans="1:33" ht="22.2" customHeight="1" x14ac:dyDescent="0.4">
      <c r="A166" s="22" t="s">
        <v>195</v>
      </c>
      <c r="B166" s="151">
        <f>SUM(B167:B168)</f>
        <v>952264.25320000004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952264.25320000004</v>
      </c>
      <c r="AD166" s="41"/>
      <c r="AE166" s="79">
        <f t="shared" si="20"/>
        <v>952.26425319999998</v>
      </c>
      <c r="AF166" s="128"/>
      <c r="AG166" s="63"/>
    </row>
    <row r="167" spans="1:33" ht="22.2" customHeight="1" x14ac:dyDescent="0.4">
      <c r="A167" s="21" t="s">
        <v>196</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197</v>
      </c>
      <c r="B168" s="44">
        <v>952264.25320000004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952264.25320000004</v>
      </c>
      <c r="AD168" s="41"/>
      <c r="AE168" s="52">
        <f t="shared" si="20"/>
        <v>952.26425319999998</v>
      </c>
      <c r="AF168" s="128"/>
      <c r="AG168" s="111"/>
    </row>
    <row r="169" spans="1:33" ht="22.2" customHeight="1" x14ac:dyDescent="0.4">
      <c r="A169" s="22" t="s">
        <v>198</v>
      </c>
      <c r="B169" s="59"/>
      <c r="C169" s="62">
        <f>SUM(C170:C171)</f>
        <v>748798.23569999996</v>
      </c>
      <c r="D169" s="62">
        <f>SUM(D170:D171)</f>
        <v>392836.25540000002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1141634.4911</v>
      </c>
      <c r="AD169" s="41"/>
      <c r="AE169" s="52">
        <f t="shared" si="20"/>
        <v>1141.6344910999999</v>
      </c>
      <c r="AF169" s="128"/>
      <c r="AG169" s="54">
        <f>SUM(AG170:AG171)</f>
        <v>4860</v>
      </c>
    </row>
    <row r="170" spans="1:33" ht="22.2" customHeight="1" x14ac:dyDescent="0.4">
      <c r="A170" s="21" t="s">
        <v>199</v>
      </c>
      <c r="B170" s="59"/>
      <c r="C170" s="44">
        <v>511924.0257</v>
      </c>
      <c r="D170" s="44">
        <v>188146.0454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700070.07110000006</v>
      </c>
      <c r="AD170" s="41"/>
      <c r="AE170" s="52">
        <f t="shared" si="20"/>
        <v>700.07007110000006</v>
      </c>
      <c r="AF170" s="128"/>
      <c r="AG170" s="44">
        <v>1890</v>
      </c>
    </row>
    <row r="171" spans="1:33" ht="22.2" customHeight="1" x14ac:dyDescent="0.4">
      <c r="A171" s="21" t="s">
        <v>200</v>
      </c>
      <c r="B171" s="59"/>
      <c r="C171" s="44">
        <v>236874.21</v>
      </c>
      <c r="D171" s="44">
        <v>204690.21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441564.42</v>
      </c>
      <c r="AD171" s="41"/>
      <c r="AE171" s="52">
        <f t="shared" si="20"/>
        <v>441.56441999999998</v>
      </c>
      <c r="AF171" s="128"/>
      <c r="AG171" s="44">
        <v>2970</v>
      </c>
    </row>
    <row r="172" spans="1:33" ht="22.2" customHeight="1" x14ac:dyDescent="0.4">
      <c r="A172" s="21" t="s">
        <v>201</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202</v>
      </c>
      <c r="B173" s="44">
        <v>-2809838.9481000002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-2809838.9481000002</v>
      </c>
      <c r="AD173" s="41"/>
      <c r="AE173" s="52">
        <f t="shared" si="20"/>
        <v>-2809.8389481000004</v>
      </c>
      <c r="AF173" s="128"/>
      <c r="AG173" s="111"/>
    </row>
    <row r="174" spans="1:33" ht="22.2" customHeight="1" thickBot="1" x14ac:dyDescent="0.45">
      <c r="A174" s="23" t="s">
        <v>203</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2"/>
      <c r="AC174" s="124"/>
      <c r="AD174" s="41"/>
      <c r="AE174" s="124"/>
      <c r="AF174" s="128"/>
      <c r="AG174" s="127"/>
    </row>
    <row r="175" spans="1:33" ht="22.2" customHeight="1" x14ac:dyDescent="0.4">
      <c r="A175" s="15" t="s">
        <v>204</v>
      </c>
      <c r="B175" s="33">
        <f>B176+B180+B181+B184+B187</f>
        <v>1624456.074</v>
      </c>
      <c r="C175" s="33">
        <f>C176+C180+C181+C184+C187</f>
        <v>48705222.631442145</v>
      </c>
      <c r="D175" s="33">
        <f>D176+D180+D181+D184+D187</f>
        <v>5262286.8140000002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55591965.519442141</v>
      </c>
      <c r="AD175" s="97"/>
      <c r="AE175" s="81">
        <f t="shared" si="20"/>
        <v>55591.965519442143</v>
      </c>
      <c r="AF175" s="128"/>
      <c r="AG175" s="33">
        <f>AG176+AG180+AG181+AG184+AG187</f>
        <v>1462.257775</v>
      </c>
    </row>
    <row r="176" spans="1:33" ht="22.2" customHeight="1" x14ac:dyDescent="0.4">
      <c r="A176" s="24" t="s">
        <v>205</v>
      </c>
      <c r="B176" s="63"/>
      <c r="C176" s="62">
        <f>C177+C178+C179</f>
        <v>27210381.449442144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27210381.449442144</v>
      </c>
      <c r="AD176" s="97"/>
      <c r="AE176" s="37">
        <f t="shared" si="20"/>
        <v>27210.381449442146</v>
      </c>
      <c r="AF176" s="128"/>
      <c r="AG176" s="78"/>
    </row>
    <row r="177" spans="1:33" ht="22.2" customHeight="1" x14ac:dyDescent="0.4">
      <c r="A177" s="100" t="s">
        <v>206</v>
      </c>
      <c r="B177" s="63"/>
      <c r="C177" s="44">
        <v>17616000.041872036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17616000.041872036</v>
      </c>
      <c r="AD177" s="97"/>
      <c r="AE177" s="44">
        <f t="shared" si="20"/>
        <v>17616.000041872037</v>
      </c>
      <c r="AF177" s="128"/>
      <c r="AG177" s="111"/>
    </row>
    <row r="178" spans="1:33" ht="22.2" customHeight="1" x14ac:dyDescent="0.4">
      <c r="A178" s="100" t="s">
        <v>207</v>
      </c>
      <c r="B178" s="63"/>
      <c r="C178" s="44">
        <v>6695835.10141329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6695835.10141329</v>
      </c>
      <c r="AD178" s="97"/>
      <c r="AE178" s="52">
        <f t="shared" si="20"/>
        <v>6695.8351014132904</v>
      </c>
      <c r="AF178" s="128"/>
      <c r="AG178" s="111"/>
    </row>
    <row r="179" spans="1:33" ht="22.2" customHeight="1" x14ac:dyDescent="0.4">
      <c r="A179" s="100" t="s">
        <v>208</v>
      </c>
      <c r="B179" s="63"/>
      <c r="C179" s="44">
        <v>2898546.3061568174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2898546.3061568174</v>
      </c>
      <c r="AD179" s="97"/>
      <c r="AE179" s="52">
        <f t="shared" si="20"/>
        <v>2898.5463061568175</v>
      </c>
      <c r="AF179" s="128"/>
      <c r="AG179" s="111"/>
    </row>
    <row r="180" spans="1:33" ht="22.2" customHeight="1" x14ac:dyDescent="0.4">
      <c r="A180" s="24" t="s">
        <v>209</v>
      </c>
      <c r="B180" s="63"/>
      <c r="C180" s="163">
        <v>90969.303</v>
      </c>
      <c r="D180" s="164">
        <v>64571.961000000003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155541.264</v>
      </c>
      <c r="AD180" s="97"/>
      <c r="AE180" s="37">
        <f t="shared" si="20"/>
        <v>155.54126399999998</v>
      </c>
      <c r="AF180" s="128"/>
      <c r="AG180" s="111"/>
    </row>
    <row r="181" spans="1:33" ht="22.2" customHeight="1" x14ac:dyDescent="0.4">
      <c r="A181" s="24" t="s">
        <v>210</v>
      </c>
      <c r="B181" s="62">
        <f>B182+B183</f>
        <v>1624456.074</v>
      </c>
      <c r="C181" s="62">
        <f>C182+C183</f>
        <v>806657.18500000006</v>
      </c>
      <c r="D181" s="62">
        <f>D182+D183</f>
        <v>178263.86899999998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2609377.128</v>
      </c>
      <c r="AD181" s="97"/>
      <c r="AE181" s="37">
        <f t="shared" si="20"/>
        <v>2609.3771280000001</v>
      </c>
      <c r="AF181" s="128"/>
      <c r="AG181" s="37">
        <f>AG182+AG183</f>
        <v>1462.257775</v>
      </c>
    </row>
    <row r="182" spans="1:33" ht="22.2" customHeight="1" x14ac:dyDescent="0.4">
      <c r="A182" s="100" t="s">
        <v>211</v>
      </c>
      <c r="B182" s="44">
        <v>54963.144</v>
      </c>
      <c r="C182" s="44">
        <v>93.587000000000003</v>
      </c>
      <c r="D182" s="44">
        <v>2105.0610000000001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57161.792000000001</v>
      </c>
      <c r="AD182" s="97"/>
      <c r="AE182" s="52">
        <f t="shared" si="20"/>
        <v>57.161791999999998</v>
      </c>
      <c r="AF182" s="128"/>
      <c r="AG182" s="111"/>
    </row>
    <row r="183" spans="1:33" ht="22.2" customHeight="1" x14ac:dyDescent="0.4">
      <c r="A183" s="100" t="s">
        <v>212</v>
      </c>
      <c r="B183" s="44">
        <v>1569492.93</v>
      </c>
      <c r="C183" s="44">
        <v>806563.598</v>
      </c>
      <c r="D183" s="44">
        <v>176158.80799999999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2552215.3360000001</v>
      </c>
      <c r="AD183" s="97"/>
      <c r="AE183" s="52">
        <f t="shared" si="20"/>
        <v>2552.2153360000002</v>
      </c>
      <c r="AF183" s="128"/>
      <c r="AG183" s="44">
        <v>1462.257775</v>
      </c>
    </row>
    <row r="184" spans="1:33" ht="22.2" customHeight="1" x14ac:dyDescent="0.4">
      <c r="A184" s="20" t="s">
        <v>213</v>
      </c>
      <c r="B184" s="63"/>
      <c r="C184" s="37">
        <f>SUM(C185:C186)</f>
        <v>20597214.693999998</v>
      </c>
      <c r="D184" s="37">
        <f>SUM(D185:D186)</f>
        <v>5019450.9840000002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25616665.677999999</v>
      </c>
      <c r="AD184" s="97"/>
      <c r="AE184" s="37">
        <f t="shared" si="20"/>
        <v>25616.665677999998</v>
      </c>
      <c r="AF184" s="128"/>
      <c r="AG184" s="76"/>
    </row>
    <row r="185" spans="1:33" ht="22.2" customHeight="1" x14ac:dyDescent="0.4">
      <c r="A185" s="100" t="s">
        <v>214</v>
      </c>
      <c r="B185" s="63"/>
      <c r="C185" s="44">
        <v>4191354.0129999998</v>
      </c>
      <c r="D185" s="44">
        <v>2512250.9840000002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6703604.9969999995</v>
      </c>
      <c r="AD185" s="97"/>
      <c r="AE185" s="52">
        <f t="shared" si="20"/>
        <v>6703.6049969999995</v>
      </c>
      <c r="AF185" s="128"/>
      <c r="AG185" s="111"/>
    </row>
    <row r="186" spans="1:33" ht="22.2" customHeight="1" x14ac:dyDescent="0.4">
      <c r="A186" s="100" t="s">
        <v>215</v>
      </c>
      <c r="B186" s="63"/>
      <c r="C186" s="44">
        <v>16405860.681</v>
      </c>
      <c r="D186" s="44">
        <v>2507200</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18913060.681000002</v>
      </c>
      <c r="AD186" s="97"/>
      <c r="AE186" s="52">
        <f t="shared" si="20"/>
        <v>18913.060681000003</v>
      </c>
      <c r="AF186" s="128"/>
      <c r="AG186" s="111"/>
    </row>
    <row r="187" spans="1:33" ht="22.2" customHeight="1" x14ac:dyDescent="0.4">
      <c r="A187" s="20" t="s">
        <v>216</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2"/>
      <c r="AC187" s="125"/>
      <c r="AD187" s="97"/>
      <c r="AE187" s="125">
        <f t="shared" si="20"/>
        <v>0</v>
      </c>
      <c r="AF187" s="128"/>
      <c r="AG187" s="127"/>
    </row>
    <row r="188" spans="1:33" ht="22.2" customHeight="1" x14ac:dyDescent="0.4">
      <c r="A188" s="140" t="s">
        <v>217</v>
      </c>
      <c r="B188" s="137">
        <f t="shared" ref="B188:L188" si="26">B10+B68+B121+B175</f>
        <v>535579838.42784184</v>
      </c>
      <c r="C188" s="137">
        <f t="shared" si="26"/>
        <v>164141021.77966449</v>
      </c>
      <c r="D188" s="137">
        <f t="shared" si="26"/>
        <v>38237655.180400006</v>
      </c>
      <c r="E188" s="137">
        <f t="shared" si="26"/>
        <v>1719111.3708159206</v>
      </c>
      <c r="F188" s="137">
        <f t="shared" si="26"/>
        <v>1738815.095</v>
      </c>
      <c r="G188" s="137">
        <f t="shared" si="26"/>
        <v>3102.067</v>
      </c>
      <c r="H188" s="137">
        <f t="shared" si="26"/>
        <v>37805.667000000001</v>
      </c>
      <c r="I188" s="137">
        <f t="shared" si="26"/>
        <v>280.09800000000001</v>
      </c>
      <c r="J188" s="137">
        <f t="shared" si="26"/>
        <v>7786428.4450000003</v>
      </c>
      <c r="K188" s="137">
        <f t="shared" si="26"/>
        <v>8323654.1260000002</v>
      </c>
      <c r="L188" s="137">
        <f t="shared" si="26"/>
        <v>264512.06599999999</v>
      </c>
      <c r="M188" s="137">
        <f>M175+M121+M68+M10</f>
        <v>412785.69500000001</v>
      </c>
      <c r="N188" s="137">
        <f t="shared" ref="N188:AC188" si="27">N10+N68+N121+N175</f>
        <v>407737.47</v>
      </c>
      <c r="O188" s="137">
        <f t="shared" si="27"/>
        <v>44179.535000000003</v>
      </c>
      <c r="P188" s="137">
        <f t="shared" si="27"/>
        <v>68946.904999999999</v>
      </c>
      <c r="Q188" s="137">
        <f t="shared" si="27"/>
        <v>58366.137999999999</v>
      </c>
      <c r="R188" s="137">
        <f t="shared" si="27"/>
        <v>4735.4059999999999</v>
      </c>
      <c r="S188" s="137">
        <f t="shared" si="27"/>
        <v>1180910.4269999999</v>
      </c>
      <c r="T188" s="137">
        <f t="shared" si="27"/>
        <v>1.8690795598948033</v>
      </c>
      <c r="U188" s="137">
        <f t="shared" si="27"/>
        <v>23210.733235630425</v>
      </c>
      <c r="V188" s="137">
        <f t="shared" si="27"/>
        <v>2629.5925551153623</v>
      </c>
      <c r="W188" s="137">
        <f t="shared" si="27"/>
        <v>245.71356104968609</v>
      </c>
      <c r="X188" s="137">
        <f t="shared" si="27"/>
        <v>2.7608265286481587E-3</v>
      </c>
      <c r="Y188" s="137">
        <f t="shared" si="27"/>
        <v>87.910030697203581</v>
      </c>
      <c r="Z188" s="137">
        <f t="shared" si="27"/>
        <v>1.8405510190987724E-3</v>
      </c>
      <c r="AA188" s="137">
        <f t="shared" si="27"/>
        <v>2474.4518579856917</v>
      </c>
      <c r="AB188" s="137">
        <f t="shared" si="27"/>
        <v>400915.89561215154</v>
      </c>
      <c r="AC188" s="137">
        <f t="shared" si="27"/>
        <v>760439452.06925583</v>
      </c>
      <c r="AD188" s="97"/>
      <c r="AE188" s="137">
        <f t="shared" si="20"/>
        <v>760439.45206925587</v>
      </c>
      <c r="AF188" s="91"/>
      <c r="AG188" s="147">
        <f>AG175+AG121+AG68+AG10</f>
        <v>65701.802446600544</v>
      </c>
    </row>
    <row r="189" spans="1:33" ht="22.2" customHeight="1" thickBot="1" x14ac:dyDescent="0.45">
      <c r="A189" s="153"/>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82"/>
      <c r="AC189" s="155"/>
      <c r="AD189" s="41"/>
      <c r="AE189" s="155"/>
      <c r="AF189" s="91"/>
      <c r="AG189" s="83"/>
    </row>
    <row r="190" spans="1:33" ht="22.2" customHeight="1" x14ac:dyDescent="0.4">
      <c r="A190" s="16" t="s">
        <v>218</v>
      </c>
      <c r="B190" s="62">
        <f>B191+B192</f>
        <v>6944460.3200000003</v>
      </c>
      <c r="C190" s="62">
        <f>C191+C192</f>
        <v>1338.894</v>
      </c>
      <c r="D190" s="62">
        <f>D191+D192</f>
        <v>50686.6852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6996485.8992000008</v>
      </c>
      <c r="AD190" s="41"/>
      <c r="AE190" s="37">
        <f t="shared" si="20"/>
        <v>6996.4858992000009</v>
      </c>
      <c r="AF190" s="91"/>
      <c r="AG190" s="37">
        <f>AG191</f>
        <v>98.242199999999997</v>
      </c>
    </row>
    <row r="191" spans="1:33" ht="22.2" customHeight="1" x14ac:dyDescent="0.4">
      <c r="A191" s="25" t="s">
        <v>219</v>
      </c>
      <c r="B191" s="44">
        <v>6944460.3200000003</v>
      </c>
      <c r="C191" s="44">
        <v>1338.894</v>
      </c>
      <c r="D191" s="44">
        <v>50686.6852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6996485.8992000008</v>
      </c>
      <c r="AD191" s="41"/>
      <c r="AE191" s="52">
        <f t="shared" si="20"/>
        <v>6996.4858992000009</v>
      </c>
      <c r="AF191" s="91"/>
      <c r="AG191" s="52">
        <v>98.242199999999997</v>
      </c>
    </row>
    <row r="192" spans="1:33" ht="22.2" customHeight="1" thickBot="1" x14ac:dyDescent="0.45">
      <c r="A192" s="26" t="s">
        <v>220</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6"/>
      <c r="AC192" s="126"/>
      <c r="AD192" s="41"/>
      <c r="AE192" s="126"/>
      <c r="AF192" s="91"/>
      <c r="AG192" s="109"/>
    </row>
    <row r="193" spans="1:33" ht="22.2" customHeight="1" thickBot="1" x14ac:dyDescent="0.45">
      <c r="A193" s="118" t="s">
        <v>221</v>
      </c>
      <c r="B193" s="161">
        <v>34112421</v>
      </c>
      <c r="C193" s="143"/>
      <c r="D193" s="142"/>
      <c r="E193" s="141"/>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c r="AB193" s="158"/>
      <c r="AC193" s="31">
        <f>SUM(B193:AB193)</f>
        <v>34112421</v>
      </c>
      <c r="AE193" s="31">
        <f t="shared" si="20"/>
        <v>34112.421000000002</v>
      </c>
      <c r="AF193" s="91"/>
      <c r="AG193" s="87"/>
    </row>
    <row r="194" spans="1:33" ht="27.6" customHeight="1" thickBot="1" x14ac:dyDescent="0.45">
      <c r="A194" s="88"/>
      <c r="AB194" s="89"/>
    </row>
    <row r="195" spans="1:33" ht="66" customHeight="1" x14ac:dyDescent="0.4">
      <c r="A195" s="17"/>
      <c r="B195" s="146" t="s">
        <v>222</v>
      </c>
      <c r="C195" s="148">
        <v>1</v>
      </c>
      <c r="D195" s="183" t="s">
        <v>223</v>
      </c>
      <c r="E195" s="183"/>
      <c r="F195" s="183"/>
      <c r="G195" s="183"/>
      <c r="H195" s="183"/>
      <c r="I195" s="183"/>
      <c r="J195" s="183"/>
      <c r="K195" s="183"/>
      <c r="L195" s="183"/>
      <c r="M195" s="183"/>
      <c r="N195" s="184"/>
      <c r="AC195" s="90"/>
    </row>
    <row r="196" spans="1:33" ht="37.200000000000003" customHeight="1" x14ac:dyDescent="0.4">
      <c r="B196" s="144"/>
      <c r="C196" s="149">
        <v>2</v>
      </c>
      <c r="D196" s="185" t="s">
        <v>224</v>
      </c>
      <c r="E196" s="185"/>
      <c r="F196" s="185"/>
      <c r="G196" s="185"/>
      <c r="H196" s="185"/>
      <c r="I196" s="185"/>
      <c r="J196" s="185"/>
      <c r="K196" s="185"/>
      <c r="L196" s="185"/>
      <c r="M196" s="185"/>
      <c r="N196" s="186"/>
    </row>
    <row r="197" spans="1:33" ht="42.6" customHeight="1" x14ac:dyDescent="0.4">
      <c r="A197" s="88"/>
      <c r="B197" s="144"/>
      <c r="C197" s="149">
        <v>3</v>
      </c>
      <c r="D197" s="185" t="s">
        <v>225</v>
      </c>
      <c r="E197" s="185"/>
      <c r="F197" s="185"/>
      <c r="G197" s="185"/>
      <c r="H197" s="185"/>
      <c r="I197" s="185"/>
      <c r="J197" s="185"/>
      <c r="K197" s="185"/>
      <c r="L197" s="185"/>
      <c r="M197" s="185"/>
      <c r="N197" s="186"/>
    </row>
    <row r="198" spans="1:33" ht="27.6" customHeight="1" x14ac:dyDescent="0.4">
      <c r="A198" s="88"/>
      <c r="B198" s="144"/>
      <c r="C198" s="149">
        <v>4</v>
      </c>
      <c r="D198" s="185" t="s">
        <v>226</v>
      </c>
      <c r="E198" s="185"/>
      <c r="F198" s="185"/>
      <c r="G198" s="185"/>
      <c r="H198" s="185"/>
      <c r="I198" s="185"/>
      <c r="J198" s="185"/>
      <c r="K198" s="185"/>
      <c r="L198" s="185"/>
      <c r="M198" s="185"/>
      <c r="N198" s="186"/>
    </row>
    <row r="199" spans="1:33" ht="35.25" customHeight="1" thickBot="1" x14ac:dyDescent="0.45">
      <c r="A199" s="88"/>
      <c r="B199" s="145"/>
      <c r="C199" s="150">
        <v>5</v>
      </c>
      <c r="D199" s="187" t="s">
        <v>227</v>
      </c>
      <c r="E199" s="187"/>
      <c r="F199" s="187"/>
      <c r="G199" s="187"/>
      <c r="H199" s="187"/>
      <c r="I199" s="187"/>
      <c r="J199" s="187"/>
      <c r="K199" s="187"/>
      <c r="L199" s="187"/>
      <c r="M199" s="187"/>
      <c r="N199" s="188"/>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2014</vt:lpstr>
      <vt:lpstr>2015</vt:lpstr>
      <vt:lpstr>2016</vt:lpstr>
      <vt:lpstr>2017</vt:lpstr>
      <vt:lpstr>2018</vt:lpstr>
      <vt:lpstr>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Irma Fabiola Ramírez Hernández</dc:creator>
  <cp:keywords/>
  <dc:description/>
  <cp:lastModifiedBy>Ozgur Bozcaga</cp:lastModifiedBy>
  <cp:revision/>
  <dcterms:created xsi:type="dcterms:W3CDTF">2017-07-26T19:43:30Z</dcterms:created>
  <dcterms:modified xsi:type="dcterms:W3CDTF">2026-03-12T19:08:48Z</dcterms:modified>
  <cp:category/>
  <cp:contentStatus/>
</cp:coreProperties>
</file>